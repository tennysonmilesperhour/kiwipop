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gredients" sheetId="2" state="visible" r:id="rId2"/>
    <sheet name="Recipes" sheetId="3" state="visible" r:id="rId3"/>
    <sheet name="Pricing" sheetId="4" state="visible" r:id="rId4"/>
    <sheet name="Batch Plan" sheetId="5" state="visible" r:id="rId5"/>
    <sheet name="Break-Even" sheetId="6" state="visible" r:id="rId6"/>
    <sheet name="Scenario" sheetId="7" state="visible" r:id="rId7"/>
  </sheets>
  <definedNames>
    <definedName name="ing_names">Ingredients!$A$6:$A$40</definedName>
    <definedName name="ing_active">Ingredients!$O$6:$O$40</definedName>
    <definedName name="ing_unit">Ingredients!$B$6:$B$40</definedName>
    <definedName name="kiwi_cost">Recipes!$H$42</definedName>
    <definedName name="lemon_cost">Recipes!$I$42</definedName>
    <definedName name="caramel_cost">Recipes!$J$42</definedName>
    <definedName name="mint_cost">Recipes!$K$42</definedName>
    <definedName name="price_single">Pricing!$D$5</definedName>
    <definedName name="price_6pack">Pricing!$D$6</definedName>
    <definedName name="price_20pack">Pricing!$D$7</definedName>
    <definedName name="price_variety">Pricing!$D$8</definedName>
    <definedName name="price_whA">Pricing!$C$12</definedName>
    <definedName name="price_whB">Pricing!$C$13</definedName>
    <definedName name="price_whC">Pricing!$C$14</definedName>
    <definedName name="batch_total_capital">'Batch Plan'!$D$10</definedName>
    <definedName name="batch_total_units">'Batch Plan'!$B$10</definedName>
    <definedName name="avg_cost_per_pop">'Batch Plan'!$D$10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000"/>
    <numFmt numFmtId="166" formatCode="0.000"/>
    <numFmt numFmtId="167" formatCode="&quot;$&quot;#,##0.0000"/>
    <numFmt numFmtId="168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1"/>
    </font>
    <font>
      <i val="1"/>
      <color rgb="00555555"/>
      <sz val="9"/>
    </font>
    <font>
      <color rgb="001565C0"/>
      <u val="single"/>
    </font>
    <font>
      <b val="1"/>
      <i val="1"/>
      <sz val="9"/>
    </font>
    <font>
      <b val="1"/>
      <sz val="12"/>
    </font>
    <font>
      <b val="1"/>
      <color rgb="002E7D32"/>
      <sz val="14"/>
    </font>
  </fonts>
  <fills count="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59D"/>
      </patternFill>
    </fill>
    <fill>
      <patternFill patternType="solid">
        <fgColor rgb="00EEEEEE"/>
      </patternFill>
    </fill>
    <fill>
      <patternFill patternType="solid">
        <fgColor rgb="00C8E6C9"/>
      </patternFill>
    </fill>
    <fill>
      <patternFill patternType="solid">
        <fgColor rgb="00C6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5" fillId="0" borderId="1" pivotButton="0" quotePrefix="0" xfId="0"/>
    <xf numFmtId="165" fontId="0" fillId="0" borderId="1" pivotButton="0" quotePrefix="0" xfId="0"/>
    <xf numFmtId="165" fontId="2" fillId="5" borderId="1" pivotButton="0" quotePrefix="0" xfId="0"/>
    <xf numFmtId="0" fontId="0" fillId="0" borderId="1" applyAlignment="1" pivotButton="0" quotePrefix="0" xfId="0">
      <alignment vertical="top" wrapText="1"/>
    </xf>
    <xf numFmtId="0" fontId="2" fillId="6" borderId="0" pivotButton="0" quotePrefix="0" xfId="0"/>
    <xf numFmtId="0" fontId="0" fillId="4" borderId="0" pivotButton="0" quotePrefix="0" xfId="0"/>
    <xf numFmtId="0" fontId="6" fillId="4" borderId="1" applyAlignment="1" pivotButton="0" quotePrefix="0" xfId="0">
      <alignment horizontal="center" vertical="center" wrapText="1"/>
    </xf>
    <xf numFmtId="165" fontId="0" fillId="5" borderId="1" pivotButton="0" quotePrefix="0" xfId="0"/>
    <xf numFmtId="166" fontId="0" fillId="3" borderId="1" pivotButton="0" quotePrefix="0" xfId="0"/>
    <xf numFmtId="167" fontId="0" fillId="0" borderId="1" pivotButton="0" quotePrefix="0" xfId="0"/>
    <xf numFmtId="0" fontId="1" fillId="2" borderId="0" pivotButton="0" quotePrefix="0" xfId="0"/>
    <xf numFmtId="167" fontId="7" fillId="6" borderId="0" pivotButton="0" quotePrefix="0" xfId="0"/>
    <xf numFmtId="0" fontId="3" fillId="0" borderId="0" pivotButton="0" quotePrefix="0" xfId="0"/>
    <xf numFmtId="164" fontId="2" fillId="5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167" fontId="0" fillId="5" borderId="1" pivotButton="0" quotePrefix="0" xfId="0"/>
    <xf numFmtId="164" fontId="2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164" fontId="8" fillId="6" borderId="0" pivotButton="0" quotePrefix="0" xfId="0"/>
    <xf numFmtId="0" fontId="0" fillId="0" borderId="0" applyAlignment="1" pivotButton="0" quotePrefix="0" xfId="0">
      <alignment wrapText="1"/>
    </xf>
    <xf numFmtId="164" fontId="7" fillId="6" borderId="0" pivotButton="0" quotePrefix="0" xfId="0"/>
    <xf numFmtId="167" fontId="0" fillId="5" borderId="0" pivotButton="0" quotePrefix="0" xfId="0"/>
    <xf numFmtId="0" fontId="2" fillId="0" borderId="0" pivotButton="0" quotePrefix="0" xfId="0"/>
    <xf numFmtId="164" fontId="0" fillId="5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9" fontId="0" fillId="3" borderId="1" pivotButton="0" quotePrefix="0" xfId="0"/>
    <xf numFmtId="9" fontId="0" fillId="5" borderId="0" pivotButton="0" quotePrefix="0" xfId="0"/>
    <xf numFmtId="164" fontId="0" fillId="5" borderId="0" pivotButton="0" quotePrefix="0" xfId="0"/>
    <xf numFmtId="167" fontId="0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9" fontId="0" fillId="3" borderId="0" pivotButton="0" quotePrefix="0" xfId="0"/>
    <xf numFmtId="164" fontId="0" fillId="3" borderId="0" pivotButton="0" quotePrefix="0" xfId="0"/>
    <xf numFmtId="0" fontId="2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right" vertical="center"/>
    </xf>
    <xf numFmtId="164" fontId="2" fillId="6" borderId="0" pivotButton="0" quotePrefix="0" xfId="0"/>
    <xf numFmtId="168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mazon.com/CK-Products-Isomalt-Crystals-Pound/dp/B00CRJKA6G" TargetMode="External" Id="rId1" /><Relationship Type="http://schemas.openxmlformats.org/officeDocument/2006/relationships/hyperlink" Target="https://www.bakersauthority.com/products/isomalt-45-lb-bag" TargetMode="External" Id="rId2" /><Relationship Type="http://schemas.openxmlformats.org/officeDocument/2006/relationships/hyperlink" Target="https://www.webstaurantstore.com/23/bulk-sugar.html?filter=sugar-type:isomalt-crystals" TargetMode="External" Id="rId3" /><Relationship Type="http://schemas.openxmlformats.org/officeDocument/2006/relationships/hyperlink" Target="https://www.amazon.com/s?k=bulksupplements+monk+fruit" TargetMode="External" Id="rId4" /><Relationship Type="http://schemas.openxmlformats.org/officeDocument/2006/relationships/hyperlink" Target="https://wholesale.bulksupplements.com/" TargetMode="External" Id="rId5" /><Relationship Type="http://schemas.openxmlformats.org/officeDocument/2006/relationships/hyperlink" Target="https://www.nutriavenue.com/" TargetMode="External" Id="rId6" /><Relationship Type="http://schemas.openxmlformats.org/officeDocument/2006/relationships/hyperlink" Target="https://www.amazon.com/s?k=anthonys+xylitol+3lb" TargetMode="External" Id="rId7" /><Relationship Type="http://schemas.openxmlformats.org/officeDocument/2006/relationships/hyperlink" Target="https://www.webstaurantstore.com/23/bulk-sugar.html" TargetMode="External" Id="rId8" /><Relationship Type="http://schemas.openxmlformats.org/officeDocument/2006/relationships/hyperlink" Target="https://www.bulkapothecary.com/" TargetMode="External" Id="rId9" /><Relationship Type="http://schemas.openxmlformats.org/officeDocument/2006/relationships/hyperlink" Target="https://www.amazon.com/s?k=spectrum+refined+coconut+oil+30oz" TargetMode="External" Id="rId10" /><Relationship Type="http://schemas.openxmlformats.org/officeDocument/2006/relationships/hyperlink" Target="https://www.webstaurantstore.com/" TargetMode="External" Id="rId11" /><Relationship Type="http://schemas.openxmlformats.org/officeDocument/2006/relationships/hyperlink" Target="https://bulknaturaloils.com/coconut-oil-refined-ehm1009.html" TargetMode="External" Id="rId12" /><Relationship Type="http://schemas.openxmlformats.org/officeDocument/2006/relationships/hyperlink" Target="https://www.amazon.com/Nativilis-Spilanthol-Amazonian-Natural-Alternative/dp/B0DNVDBTMN" TargetMode="External" Id="rId13" /><Relationship Type="http://schemas.openxmlformats.org/officeDocument/2006/relationships/hyperlink" Target="https://www.saherbalbioactives.com/acmella-oleracea-oleoresin/" TargetMode="External" Id="rId14" /><Relationship Type="http://schemas.openxmlformats.org/officeDocument/2006/relationships/hyperlink" Target="https://www.ingredientsonline.com/botanicals/acmella-oleracea-jambu-oleoresin-30-spilanthol/" TargetMode="External" Id="rId15" /><Relationship Type="http://schemas.openxmlformats.org/officeDocument/2006/relationships/hyperlink" Target="https://www.amazon.com/Bulksupplements-Theobromine-Powder-1-kilogram/dp/B01LBN3I8U" TargetMode="External" Id="rId16" /><Relationship Type="http://schemas.openxmlformats.org/officeDocument/2006/relationships/hyperlink" Target="https://wholesale.bulksupplements.com/products/theobromine-powder" TargetMode="External" Id="rId17" /><Relationship Type="http://schemas.openxmlformats.org/officeDocument/2006/relationships/hyperlink" Target="https://www.nutriavenue.com/ingredients/theobromine/" TargetMode="External" Id="rId18" /><Relationship Type="http://schemas.openxmlformats.org/officeDocument/2006/relationships/hyperlink" Target="https://www.amazon.com/BulkSupplements-Magnesium-Glycinate-Powder-kilograms/dp/B00QT5W1AW" TargetMode="External" Id="rId19" /><Relationship Type="http://schemas.openxmlformats.org/officeDocument/2006/relationships/hyperlink" Target="https://wholesale.bulksupplements.com/products/magnesium-glycinate-powder" TargetMode="External" Id="rId20" /><Relationship Type="http://schemas.openxmlformats.org/officeDocument/2006/relationships/hyperlink" Target="https://www.maxmedchem.com/bulk-supplements-magnesium-glycinate-powder-moq-25kg.html" TargetMode="External" Id="rId21" /><Relationship Type="http://schemas.openxmlformats.org/officeDocument/2006/relationships/hyperlink" Target="https://www.amazon.com/s?k=bulksupplements+taurine+powder+1kg" TargetMode="External" Id="rId22" /><Relationship Type="http://schemas.openxmlformats.org/officeDocument/2006/relationships/hyperlink" Target="https://wholesale.bulksupplements.com/products/taurine" TargetMode="External" Id="rId23" /><Relationship Type="http://schemas.openxmlformats.org/officeDocument/2006/relationships/hyperlink" Target="https://www.nutriavenue.com/" TargetMode="External" Id="rId24" /><Relationship Type="http://schemas.openxmlformats.org/officeDocument/2006/relationships/hyperlink" Target="https://www.amazon.com/s?k=methylcobalamin+powder+bulksupplements" TargetMode="External" Id="rId25" /><Relationship Type="http://schemas.openxmlformats.org/officeDocument/2006/relationships/hyperlink" Target="https://wholesale.bulksupplements.com/" TargetMode="External" Id="rId26" /><Relationship Type="http://schemas.openxmlformats.org/officeDocument/2006/relationships/hyperlink" Target="https://www.nutriavenue.com/" TargetMode="External" Id="rId27" /><Relationship Type="http://schemas.openxmlformats.org/officeDocument/2006/relationships/hyperlink" Target="https://www.amazon.com/s?k=sacred+eats+keto+recharge" TargetMode="External" Id="rId28" /><Relationship Type="http://schemas.openxmlformats.org/officeDocument/2006/relationships/hyperlink" Target="https://sacredeats.com/wholesale" TargetMode="External" Id="rId29" /><Relationship Type="http://schemas.openxmlformats.org/officeDocument/2006/relationships/hyperlink" Target="mailto:info@sacredeats.com" TargetMode="External" Id="rId30" /><Relationship Type="http://schemas.openxmlformats.org/officeDocument/2006/relationships/hyperlink" Target="https://www.amazon.com/s?k=panax+ginseng+root+extract+powder" TargetMode="External" Id="rId31" /><Relationship Type="http://schemas.openxmlformats.org/officeDocument/2006/relationships/hyperlink" Target="https://wholesale.bulksupplements.com/" TargetMode="External" Id="rId32" /><Relationship Type="http://schemas.openxmlformats.org/officeDocument/2006/relationships/hyperlink" Target="https://www.nutriavenue.com/" TargetMode="External" Id="rId33" /><Relationship Type="http://schemas.openxmlformats.org/officeDocument/2006/relationships/hyperlink" Target="https://www.amazon.com/s?k=organic+spirulina+powder+1kg" TargetMode="External" Id="rId34" /><Relationship Type="http://schemas.openxmlformats.org/officeDocument/2006/relationships/hyperlink" Target="https://wholesale.bulksupplements.com/" TargetMode="External" Id="rId35" /><Relationship Type="http://schemas.openxmlformats.org/officeDocument/2006/relationships/hyperlink" Target="https://www.nutriavenue.com/" TargetMode="External" Id="rId36" /><Relationship Type="http://schemas.openxmlformats.org/officeDocument/2006/relationships/hyperlink" Target="https://www.amazon.com/Ashwagandha-Extract-Bulksupplements-Natural-Kilogram/dp/B01MYBN67O" TargetMode="External" Id="rId37" /><Relationship Type="http://schemas.openxmlformats.org/officeDocument/2006/relationships/hyperlink" Target="https://wholesale.bulksupplements.com/products/ashwagandha-extract-powder" TargetMode="External" Id="rId38" /><Relationship Type="http://schemas.openxmlformats.org/officeDocument/2006/relationships/hyperlink" Target="https://www.nutriavenue.com/" TargetMode="External" Id="rId39" /><Relationship Type="http://schemas.openxmlformats.org/officeDocument/2006/relationships/hyperlink" Target="https://www.amazon.com/BULKSUPPLEMENTS-COM-Organic-Maca-Powder-1kg/dp/B0CFBJZQSQ" TargetMode="External" Id="rId40" /><Relationship Type="http://schemas.openxmlformats.org/officeDocument/2006/relationships/hyperlink" Target="https://wholesale.bulksupplements.com/products/organic-maca-powder" TargetMode="External" Id="rId41" /><Relationship Type="http://schemas.openxmlformats.org/officeDocument/2006/relationships/hyperlink" Target="https://www.vehgroshop.com/" TargetMode="External" Id="rId42" /><Relationship Type="http://schemas.openxmlformats.org/officeDocument/2006/relationships/hyperlink" Target="https://www.amazon.com/s?k=bulksupplements+l-theanine+powder+1kg" TargetMode="External" Id="rId43" /><Relationship Type="http://schemas.openxmlformats.org/officeDocument/2006/relationships/hyperlink" Target="https://wholesale.bulksupplements.com/products/ltheanine" TargetMode="External" Id="rId44" /><Relationship Type="http://schemas.openxmlformats.org/officeDocument/2006/relationships/hyperlink" Target="https://www.nutriavenue.com/ingredients/l-theanine/" TargetMode="External" Id="rId45" /><Relationship Type="http://schemas.openxmlformats.org/officeDocument/2006/relationships/hyperlink" Target="https://www.amazon.com/s?k=bulksupplements+chamomile+extract" TargetMode="External" Id="rId46" /><Relationship Type="http://schemas.openxmlformats.org/officeDocument/2006/relationships/hyperlink" Target="https://wholesale.bulksupplements.com/products/chamomile-extract-powder" TargetMode="External" Id="rId47" /><Relationship Type="http://schemas.openxmlformats.org/officeDocument/2006/relationships/hyperlink" Target="https://www.medikonda.com/products/chamomile-extract-powder-suppliers-bulk-wholesale-distributor" TargetMode="External" Id="rId48" /><Relationship Type="http://schemas.openxmlformats.org/officeDocument/2006/relationships/hyperlink" Target="https://www.amazon.com/s?k=freeze+dried+kiwi+powder" TargetMode="External" Id="rId49" /><Relationship Type="http://schemas.openxmlformats.org/officeDocument/2006/relationships/hyperlink" Target="https://fiercefruit.com/" TargetMode="External" Id="rId50" /><Relationship Type="http://schemas.openxmlformats.org/officeDocument/2006/relationships/hyperlink" Target="https://www.medikonda.com/" TargetMode="External" Id="rId51" /><Relationship Type="http://schemas.openxmlformats.org/officeDocument/2006/relationships/hyperlink" Target="https://www.amazon.com/s?k=freeze+dried+lemon+powder" TargetMode="External" Id="rId52" /><Relationship Type="http://schemas.openxmlformats.org/officeDocument/2006/relationships/hyperlink" Target="https://fiercefruit.com/" TargetMode="External" Id="rId53" /><Relationship Type="http://schemas.openxmlformats.org/officeDocument/2006/relationships/hyperlink" Target="https://www.nutricargo.com/" TargetMode="External" Id="rId54" /><Relationship Type="http://schemas.openxmlformats.org/officeDocument/2006/relationships/hyperlink" Target="https://www.amazon.com/s?k=organic+ginger+powder+1lb" TargetMode="External" Id="rId55" /><Relationship Type="http://schemas.openxmlformats.org/officeDocument/2006/relationships/hyperlink" Target="https://www.bulkapothecary.com/" TargetMode="External" Id="rId56" /><Relationship Type="http://schemas.openxmlformats.org/officeDocument/2006/relationships/hyperlink" Target="https://www.webstaurantstore.com/" TargetMode="External" Id="rId57" /><Relationship Type="http://schemas.openxmlformats.org/officeDocument/2006/relationships/hyperlink" Target="https://www.amazon.com/s?k=bulksupplements+turmeric+curcumin+powder" TargetMode="External" Id="rId58" /><Relationship Type="http://schemas.openxmlformats.org/officeDocument/2006/relationships/hyperlink" Target="https://wholesale.bulksupplements.com/" TargetMode="External" Id="rId59" /><Relationship Type="http://schemas.openxmlformats.org/officeDocument/2006/relationships/hyperlink" Target="https://www.nutriavenue.com/" TargetMode="External" Id="rId60" /><Relationship Type="http://schemas.openxmlformats.org/officeDocument/2006/relationships/hyperlink" Target="https://www.amazon.com/s?k=freeze+dried+apple+powder+indus+farms" TargetMode="External" Id="rId61" /><Relationship Type="http://schemas.openxmlformats.org/officeDocument/2006/relationships/hyperlink" Target="https://fiercefruit.com/products/apple-freeze-dried-powder" TargetMode="External" Id="rId62" /><Relationship Type="http://schemas.openxmlformats.org/officeDocument/2006/relationships/hyperlink" Target="https://fiercefruit.com/" TargetMode="External" Id="rId63" /><Relationship Type="http://schemas.openxmlformats.org/officeDocument/2006/relationships/hyperlink" Target="https://www.amazon.com/s?k=organic+lucuma+powder" TargetMode="External" Id="rId64" /><Relationship Type="http://schemas.openxmlformats.org/officeDocument/2006/relationships/hyperlink" Target="https://www.vehgroshop.com/lucuma-powder-organic.html" TargetMode="External" Id="rId65" /><Relationship Type="http://schemas.openxmlformats.org/officeDocument/2006/relationships/hyperlink" Target="https://amazon-andes.com/raw-materials/superfoods/lucuma-supplier-wholesale-bulk/" TargetMode="External" Id="rId66" /><Relationship Type="http://schemas.openxmlformats.org/officeDocument/2006/relationships/hyperlink" Target="https://www.amazon.com/Caramel-Extract-Natural-Flavor-Blend/dp/B004XWCIVA" TargetMode="External" Id="rId67" /><Relationship Type="http://schemas.openxmlformats.org/officeDocument/2006/relationships/hyperlink" Target="https://www.mounthopewholesale.com/product/extracts-flavorings/caramel-extract/" TargetMode="External" Id="rId68" /><Relationship Type="http://schemas.openxmlformats.org/officeDocument/2006/relationships/hyperlink" Target="https://www.olivenation.com/category/bulk-buy/wholesale-extracts.html" TargetMode="External" Id="rId69" /><Relationship Type="http://schemas.openxmlformats.org/officeDocument/2006/relationships/hyperlink" Target="https://www.amazon.com/s?k=ceylon+cinnamon+powder+1lb" TargetMode="External" Id="rId70" /><Relationship Type="http://schemas.openxmlformats.org/officeDocument/2006/relationships/hyperlink" Target="https://www.bulkapothecary.com/" TargetMode="External" Id="rId71" /><Relationship Type="http://schemas.openxmlformats.org/officeDocument/2006/relationships/hyperlink" Target="https://www.webstaurantstore.com/" TargetMode="External" Id="rId72" /><Relationship Type="http://schemas.openxmlformats.org/officeDocument/2006/relationships/hyperlink" Target="https://www.amazon.com/s?k=jade+leaf+matcha+culinary+100g" TargetMode="External" Id="rId73" /><Relationship Type="http://schemas.openxmlformats.org/officeDocument/2006/relationships/hyperlink" Target="https://bulk.matcha.com/products/bulk-culinary-matcha" TargetMode="External" Id="rId74" /><Relationship Type="http://schemas.openxmlformats.org/officeDocument/2006/relationships/hyperlink" Target="https://wholesale.jadeleafmatcha.com/collections/wholesale" TargetMode="External" Id="rId75" /><Relationship Type="http://schemas.openxmlformats.org/officeDocument/2006/relationships/hyperlink" Target="https://www.amazon.com/s?k=lorann+peppermint+oil+1+dram" TargetMode="External" Id="rId76" /><Relationship Type="http://schemas.openxmlformats.org/officeDocument/2006/relationships/hyperlink" Target="https://www.lorannoils.com/" TargetMode="External" Id="rId77" /><Relationship Type="http://schemas.openxmlformats.org/officeDocument/2006/relationships/hyperlink" Target="https://www.hbnobulk.com/products/peppermint-essential-oil" TargetMode="External" Id="rId78" /><Relationship Type="http://schemas.openxmlformats.org/officeDocument/2006/relationships/hyperlink" Target="https://www.amazon.com/s?k=lorann+spearmint+oil" TargetMode="External" Id="rId79" /><Relationship Type="http://schemas.openxmlformats.org/officeDocument/2006/relationships/hyperlink" Target="https://www.lorannoils.com/products/shop/flavors/super-strength-flavors-food-grade-essential-oils/spearmint-oil-natural" TargetMode="External" Id="rId80" /><Relationship Type="http://schemas.openxmlformats.org/officeDocument/2006/relationships/hyperlink" Target="https://bulknaturaloils.com/spearmint-oil-ehm1137.html" TargetMode="External" Id="rId81" /><Relationship Type="http://schemas.openxmlformats.org/officeDocument/2006/relationships/hyperlink" Target="https://www.amazon.com/s?k=now+foods+citric+acid+1lb" TargetMode="External" Id="rId82" /><Relationship Type="http://schemas.openxmlformats.org/officeDocument/2006/relationships/hyperlink" Target="https://wholesale.bulksupplements.com/" TargetMode="External" Id="rId83" /><Relationship Type="http://schemas.openxmlformats.org/officeDocument/2006/relationships/hyperlink" Target="https://www.webstaurantstore.com/" TargetMode="External" Id="rId84" /><Relationship Type="http://schemas.openxmlformats.org/officeDocument/2006/relationships/hyperlink" Target="https://www.amazon.com/Wilton-Edible-Gold-Glitter-Spray/dp/B077NXN17B" TargetMode="External" Id="rId85" /><Relationship Type="http://schemas.openxmlformats.org/officeDocument/2006/relationships/hyperlink" Target="https://bakell.com/products/gold-star-shaped-edible-shimmer-flakes-bulk-size" TargetMode="External" Id="rId86" /><Relationship Type="http://schemas.openxmlformats.org/officeDocument/2006/relationships/hyperlink" Target="https://brewglitter.com/collections/buy-garnish-glitter-edible-glitter-in-bulk" TargetMode="External" Id="rId87" /><Relationship Type="http://schemas.openxmlformats.org/officeDocument/2006/relationships/hyperlink" Target="https://www.amazon.com/s?k=paper+lollipop+sticks+100" TargetMode="External" Id="rId88" /><Relationship Type="http://schemas.openxmlformats.org/officeDocument/2006/relationships/hyperlink" Target="https://www.webstaurantstore.com/" TargetMode="External" Id="rId89" /><Relationship Type="http://schemas.openxmlformats.org/officeDocument/2006/relationships/hyperlink" Target="https://www.alibaba.com/showroom/paper-lollipop-sticks.html" TargetMode="External" Id="rId90" /><Relationship Type="http://schemas.openxmlformats.org/officeDocument/2006/relationships/hyperlink" Target="https://www.amazon.com/s?k=clear+lollipop+wrappers" TargetMode="External" Id="rId91" /><Relationship Type="http://schemas.openxmlformats.org/officeDocument/2006/relationships/hyperlink" Target="https://www.webstaurantstore.com/" TargetMode="External" Id="rId92" /><Relationship Type="http://schemas.openxmlformats.org/officeDocument/2006/relationships/hyperlink" Target="https://www.uline.com/" TargetMode="External" Id="rId93" /><Relationship Type="http://schemas.openxmlformats.org/officeDocument/2006/relationships/hyperlink" Target="https://www.amazon.com/s?k=custom+round+stickers+1+inch" TargetMode="External" Id="rId94" /><Relationship Type="http://schemas.openxmlformats.org/officeDocument/2006/relationships/hyperlink" Target="https://www.stickermule.com/" TargetMode="External" Id="rId95" /><Relationship Type="http://schemas.openxmlformats.org/officeDocument/2006/relationships/hyperlink" Target="https://www.avery.com/business/labels/wholesale" TargetMode="External" Id="rId96" /><Relationship Type="http://schemas.openxmlformats.org/officeDocument/2006/relationships/hyperlink" Target="https://www.amazon.com/ESA-Supplies-Silicone-Lollipop-Cupcake/dp/B0723HPDQ2" TargetMode="External" Id="rId97" /><Relationship Type="http://schemas.openxmlformats.org/officeDocument/2006/relationships/hyperlink" Target="https://www.amazon.com/Akingshop-Cavity-Silicone-Cake-Mold/dp/B07ZKKKNXL" TargetMode="External" Id="rId98" /><Relationship Type="http://schemas.openxmlformats.org/officeDocument/2006/relationships/hyperlink" Target="https://www.alibaba.com/showroom/silicone-lollipop-mold.html" TargetMode="External" Id="rId99" /><Relationship Type="http://schemas.openxmlformats.org/officeDocument/2006/relationships/hyperlink" Target="https://www.amazon.com/s?k=pam+olive+oil+spray" TargetMode="External" Id="rId100" /><Relationship Type="http://schemas.openxmlformats.org/officeDocument/2006/relationships/hyperlink" Target="https://www.webstaurantstore.com/" TargetMode="External" Id="rId101" /><Relationship Type="http://schemas.openxmlformats.org/officeDocument/2006/relationships/hyperlink" Target="https://www.webstaurantstore.com/" TargetMode="External" Id="rId102" /></Relationships>
</file>

<file path=xl/worksheets/sheet1.xml><?xml version="1.0" encoding="utf-8"?>
<worksheet xmlns="http://schemas.openxmlformats.org/spreadsheetml/2006/main">
  <sheetPr>
    <tabColor rgb="00FFEB3B"/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 xml:space="preserve">  KIWI POP — Costing, Sourcing &amp; Break-Even Workbook (v2)</t>
        </is>
      </c>
    </row>
    <row r="2">
      <c r="A2" s="2" t="inlineStr"/>
    </row>
    <row r="3">
      <c r="A3" s="3" t="inlineStr">
        <is>
          <t>WHAT'S IN HERE</t>
        </is>
      </c>
    </row>
    <row r="4">
      <c r="A4" s="2" t="inlineStr">
        <is>
          <t xml:space="preserve">  1. Ingredients   3-tier price list. Tier 1 = Amazon retail (today's production scale). Tier 2 = mid-tier wholesale</t>
        </is>
      </c>
    </row>
    <row r="5">
      <c r="A5" s="2" t="inlineStr">
        <is>
          <t xml:space="preserve">                   (BulkSupplements wholesale portal, Jedwards, Bulk Apothecary, etc.). Tier 3 = factory-direct bulk</t>
        </is>
      </c>
    </row>
    <row r="6">
      <c r="A6" s="2" t="inlineStr">
        <is>
          <t xml:space="preserve">                   (Nutri Avenue / Maxmedchem / Alibaba GMP, typically 25 kg MOQ). Pick the active tier in cell C2;</t>
        </is>
      </c>
    </row>
    <row r="7">
      <c r="A7" s="2" t="inlineStr">
        <is>
          <t xml:space="preserve">                   prices flow through to every other sheet. Tier 3 prices are estimates where exact quotes aren't</t>
        </is>
      </c>
    </row>
    <row r="8">
      <c r="A8" s="2" t="inlineStr">
        <is>
          <t xml:space="preserve">                   publicly listed — replace with real quotes as you get them.</t>
        </is>
      </c>
    </row>
    <row r="9">
      <c r="A9" s="2" t="inlineStr">
        <is>
          <t xml:space="preserve">  2. Recipes       Per-pop amounts for all 4 flavors. Edit the yellow amount columns to adjust formulation.</t>
        </is>
      </c>
    </row>
    <row r="10">
      <c r="A10" s="2" t="inlineStr">
        <is>
          <t xml:space="preserve">                   Cost per pop is computed against the active tier on the Ingredients sheet.</t>
        </is>
      </c>
    </row>
    <row r="11">
      <c r="A11" s="2" t="inlineStr">
        <is>
          <t xml:space="preserve">  3. Batch Plan    Set a batch size per flavor (rounded to 20-cavity batches). See total ingredient capital</t>
        </is>
      </c>
    </row>
    <row r="12">
      <c r="A12" s="2" t="inlineStr">
        <is>
          <t xml:space="preserve">                   required at each sourcing tier — that's the cheque you write before you make a single sale.</t>
        </is>
      </c>
    </row>
    <row r="13">
      <c r="A13" s="2" t="inlineStr">
        <is>
          <t xml:space="preserve">  4. Pricing       Retail SKU prices (single / 6-pack / 20-pack / variety) and wholesale tier prices.</t>
        </is>
      </c>
    </row>
    <row r="14">
      <c r="A14" s="2" t="inlineStr">
        <is>
          <t xml:space="preserve">  5. Break-Even    Ingredient capital → how many pops you need to sell to recover it, broken out by channel</t>
        </is>
      </c>
    </row>
    <row r="15">
      <c r="A15" s="2" t="inlineStr">
        <is>
          <t xml:space="preserve">                   mix (100% retail single, 6-pack, 20-pack, wholesale tier A/B/C). One row per scenario.</t>
        </is>
      </c>
    </row>
    <row r="16">
      <c r="A16" s="2" t="inlineStr">
        <is>
          <t xml:space="preserve">  6. Scenario      Free-form P&amp;L: type units sold per flavor per channel. Get revenue, COGS, gross profit, margin.</t>
        </is>
      </c>
    </row>
    <row r="17">
      <c r="A17" s="2" t="inlineStr">
        <is>
          <t xml:space="preserve">                   This is the one you'll use to play 'what if I sell 200 wholesale + 50 retail'.</t>
        </is>
      </c>
    </row>
    <row r="18">
      <c r="A18" s="2" t="inlineStr"/>
    </row>
    <row r="19">
      <c r="A19" s="3" t="inlineStr">
        <is>
          <t>COLOR KEY</t>
        </is>
      </c>
    </row>
    <row r="20">
      <c r="A20" s="2" t="inlineStr">
        <is>
          <t xml:space="preserve">  • YELLOW background = you edit this (recipe amounts, sourcing tier, sales volumes, batch sizes)</t>
        </is>
      </c>
    </row>
    <row r="21">
      <c r="A21" s="2" t="inlineStr">
        <is>
          <t xml:space="preserve">  • GREEN background  = formula result pulled from another tab</t>
        </is>
      </c>
    </row>
    <row r="22">
      <c r="A22" s="2" t="inlineStr">
        <is>
          <t xml:space="preserve">  • Blue underlined   = clickable sourcing link</t>
        </is>
      </c>
    </row>
    <row r="23">
      <c r="A23" s="2" t="inlineStr"/>
    </row>
    <row r="24">
      <c r="A24" s="3" t="inlineStr">
        <is>
          <t>DEFINITIONS</t>
        </is>
      </c>
    </row>
    <row r="25">
      <c r="A25" s="2" t="inlineStr">
        <is>
          <t xml:space="preserve">  • 'Active tier' (Ingredients!C2) = which price column flows to the rest of the workbook. Switch it to model</t>
        </is>
      </c>
    </row>
    <row r="26">
      <c r="A26" s="2" t="inlineStr">
        <is>
          <t xml:space="preserve">    your unit-cost at each scaling stage. Tier 1 = today (Amazon, retail-priced inputs). Tier 2 = next step</t>
        </is>
      </c>
    </row>
    <row r="27">
      <c r="A27" s="2" t="inlineStr">
        <is>
          <t xml:space="preserve">    (small wholesale accounts). Tier 3 = scaled production (factory direct, requires real upfront capital).</t>
        </is>
      </c>
    </row>
    <row r="28">
      <c r="A28" s="2" t="inlineStr">
        <is>
          <t xml:space="preserve">  • COGS per pop = ingredient cost only. Doesn't include labor, packaging time, shipping out, payment fees,</t>
        </is>
      </c>
    </row>
    <row r="29">
      <c r="A29" s="2" t="inlineStr">
        <is>
          <t xml:space="preserve">    or Stripe's cut. Add a labor multiplier in Scenario!B6 if you want to model that.</t>
        </is>
      </c>
    </row>
    <row r="30">
      <c r="A30" s="2" t="inlineStr">
        <is>
          <t xml:space="preserve">  • Break-even is INGREDIENT capital only — i.e. the up-front check to buy the inputs for a given batch.</t>
        </is>
      </c>
    </row>
    <row r="31">
      <c r="A31" s="2" t="inlineStr">
        <is>
          <t xml:space="preserve">    It does NOT include molds, hardware, kitchen rent, marketing. Those go in Scenario fixed costs.</t>
        </is>
      </c>
    </row>
    <row r="32">
      <c r="A32" s="2" t="inlineStr"/>
    </row>
    <row r="33">
      <c r="A33" s="3" t="inlineStr">
        <is>
          <t>WORKFLOW</t>
        </is>
      </c>
    </row>
    <row r="34">
      <c r="A34" s="2" t="inlineStr">
        <is>
          <t xml:space="preserve">  1. Open Ingredients, pick a tier in C2. Spot-check prices against the linked sources and overwrite Tier 1/2</t>
        </is>
      </c>
    </row>
    <row r="35">
      <c r="A35" s="2" t="inlineStr">
        <is>
          <t xml:space="preserve">     with whatever you actually paid.</t>
        </is>
      </c>
    </row>
    <row r="36">
      <c r="A36" s="2" t="inlineStr">
        <is>
          <t xml:space="preserve">  2. Open Recipes, check the per-pop amounts. Tweak if you've changed the formulation.</t>
        </is>
      </c>
    </row>
    <row r="37">
      <c r="A37" s="2" t="inlineStr">
        <is>
          <t xml:space="preserve">  3. Open Batch Plan. Set how many pops of each flavor you want to make. See the capital needed.</t>
        </is>
      </c>
    </row>
    <row r="38">
      <c r="A38" s="2" t="inlineStr">
        <is>
          <t xml:space="preserve">  4. Open Break-Even. Look at the channel-mix table to see how many units of each channel you'd need to sell</t>
        </is>
      </c>
    </row>
    <row r="39">
      <c r="A39" s="2" t="inlineStr">
        <is>
          <t xml:space="preserve">     to recover the batch capital. (e.g. if a 200-pop batch costs $250 in ingredients, you break even at</t>
        </is>
      </c>
    </row>
    <row r="40">
      <c r="A40" s="2" t="inlineStr">
        <is>
          <t xml:space="preserve">     50 wholesale tier-B pops or 84 single retail pops or 100 6-pack pops.)</t>
        </is>
      </c>
    </row>
    <row r="41">
      <c r="A41" s="2" t="inlineStr">
        <is>
          <t xml:space="preserve">  5. Open Scenario, type your actual expected sales mix per flavor per channel, see the bottom-line profit.</t>
        </is>
      </c>
    </row>
    <row r="42">
      <c r="A42" s="2" t="inlineStr"/>
    </row>
    <row r="43">
      <c r="A43" s="3" t="inlineStr">
        <is>
          <t>REPLACING THIS WORKBOOK'S ASSUMPTIONS</t>
        </is>
      </c>
    </row>
    <row r="44">
      <c r="A44" s="2" t="inlineStr">
        <is>
          <t xml:space="preserve">  • Tier 1 prices target real Amazon listings. Click the link, verify the price hasn't drifted, update.</t>
        </is>
      </c>
    </row>
    <row r="45">
      <c r="A45" s="2" t="inlineStr">
        <is>
          <t xml:space="preserve">  • Tier 2/3 prices target real wholesalers but are not all live quotes — they're informed estimates.</t>
        </is>
      </c>
    </row>
    <row r="46">
      <c r="A46" s="2" t="inlineStr">
        <is>
          <t xml:space="preserve">    When you start getting actual supplier quotes, overwrite the yellow cells in those columns.</t>
        </is>
      </c>
    </row>
    <row r="47">
      <c r="A47" s="2" t="inlineStr"/>
    </row>
    <row r="48">
      <c r="A48" s="2" t="inlineStr">
        <is>
          <t>DATE BUILT: May 2026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1" customWidth="1" min="3" max="3"/>
    <col width="11" customWidth="1" min="4" max="4"/>
    <col width="22" customWidth="1" min="5" max="5"/>
    <col width="11" customWidth="1" min="6" max="6"/>
    <col width="11" customWidth="1" min="7" max="7"/>
    <col width="22" customWidth="1" min="8" max="8"/>
    <col width="11" customWidth="1" min="9" max="9"/>
    <col width="11" customWidth="1" min="10" max="10"/>
    <col width="22" customWidth="1" min="11" max="11"/>
    <col width="11" customWidth="1" min="12" max="12"/>
    <col width="11" customWidth="1" min="13" max="13"/>
    <col width="11" customWidth="1" min="14" max="14"/>
    <col width="11" customWidth="1" min="15" max="15"/>
    <col width="32" customWidth="1" min="16" max="16"/>
  </cols>
  <sheetData>
    <row r="1" ht="22" customHeight="1">
      <c r="A1" s="1" t="inlineStr">
        <is>
          <t xml:space="preserve">  INGREDIENTS — 3-Tier Sourcing Master Price List</t>
        </is>
      </c>
    </row>
    <row r="2">
      <c r="A2" s="4" t="inlineStr">
        <is>
          <t>Active sourcing tier (drives prices everywhere else):</t>
        </is>
      </c>
      <c r="C2" s="5" t="inlineStr">
        <is>
          <t>Tier 1 — Amazon (now)</t>
        </is>
      </c>
    </row>
    <row r="4">
      <c r="A4" s="6" t="inlineStr">
        <is>
          <t>Ingredient</t>
        </is>
      </c>
      <c r="B4" s="6" t="inlineStr">
        <is>
          <t>Unit</t>
        </is>
      </c>
      <c r="C4" s="6" t="inlineStr">
        <is>
          <t>Tier 1 — Amazon retail (current)</t>
        </is>
      </c>
      <c r="D4" s="7" t="n"/>
      <c r="E4" s="7" t="n"/>
      <c r="F4" s="6" t="inlineStr">
        <is>
          <t>Tier 2 — Mid wholesale (next step)</t>
        </is>
      </c>
      <c r="G4" s="7" t="n"/>
      <c r="H4" s="7" t="n"/>
      <c r="I4" s="6" t="inlineStr">
        <is>
          <t>Tier 3 — Large bulk (scaled production)</t>
        </is>
      </c>
      <c r="J4" s="7" t="n"/>
      <c r="K4" s="7" t="n"/>
      <c r="L4" s="6" t="inlineStr">
        <is>
          <t>Cost per unit (auto)</t>
        </is>
      </c>
      <c r="M4" s="7" t="n"/>
      <c r="N4" s="7" t="n"/>
      <c r="O4" s="6" t="inlineStr">
        <is>
          <t>Active $/unit</t>
        </is>
      </c>
      <c r="P4" s="6" t="inlineStr">
        <is>
          <t>Notes</t>
        </is>
      </c>
    </row>
    <row r="5">
      <c r="A5" s="8" t="inlineStr"/>
      <c r="B5" s="8" t="inlineStr"/>
      <c r="C5" s="8" t="inlineStr">
        <is>
          <t>Pkg size</t>
        </is>
      </c>
      <c r="D5" s="8" t="inlineStr">
        <is>
          <t>Pkg price ($)</t>
        </is>
      </c>
      <c r="E5" s="8" t="inlineStr">
        <is>
          <t>Link</t>
        </is>
      </c>
      <c r="F5" s="8" t="inlineStr">
        <is>
          <t>Pkg size</t>
        </is>
      </c>
      <c r="G5" s="8" t="inlineStr">
        <is>
          <t>Pkg price ($)</t>
        </is>
      </c>
      <c r="H5" s="8" t="inlineStr">
        <is>
          <t>Link</t>
        </is>
      </c>
      <c r="I5" s="8" t="inlineStr">
        <is>
          <t>Pkg size</t>
        </is>
      </c>
      <c r="J5" s="8" t="inlineStr">
        <is>
          <t>Pkg price ($)</t>
        </is>
      </c>
      <c r="K5" s="8" t="inlineStr">
        <is>
          <t>Link</t>
        </is>
      </c>
      <c r="L5" s="8" t="inlineStr">
        <is>
          <t>T1 $/unit</t>
        </is>
      </c>
      <c r="M5" s="8" t="inlineStr">
        <is>
          <t>T2 $/unit</t>
        </is>
      </c>
      <c r="N5" s="8" t="inlineStr">
        <is>
          <t>T3 $/unit</t>
        </is>
      </c>
      <c r="O5" s="8" t="inlineStr"/>
      <c r="P5" s="8" t="inlineStr"/>
    </row>
    <row r="6">
      <c r="A6" s="9" t="inlineStr">
        <is>
          <t>Isomalt</t>
        </is>
      </c>
      <c r="B6" s="10" t="inlineStr">
        <is>
          <t>g</t>
        </is>
      </c>
      <c r="C6" s="11" t="n">
        <v>2270</v>
      </c>
      <c r="D6" s="12" t="n">
        <v>35</v>
      </c>
      <c r="E6" s="13" t="inlineStr">
        <is>
          <t>View source</t>
        </is>
      </c>
      <c r="F6" s="11" t="n">
        <v>10000</v>
      </c>
      <c r="G6" s="12" t="n">
        <v>120</v>
      </c>
      <c r="H6" s="13" t="inlineStr">
        <is>
          <t>View source</t>
        </is>
      </c>
      <c r="I6" s="11" t="n">
        <v>22680</v>
      </c>
      <c r="J6" s="12" t="n">
        <v>200</v>
      </c>
      <c r="K6" s="13" t="inlineStr">
        <is>
          <t>View source</t>
        </is>
      </c>
      <c r="L6" s="14">
        <f>IFERROR(D6/C6,0)</f>
        <v/>
      </c>
      <c r="M6" s="14">
        <f>IFERROR(G6/F6,0)</f>
        <v/>
      </c>
      <c r="N6" s="14">
        <f>IFERROR(J6/I6,0)</f>
        <v/>
      </c>
      <c r="O6" s="15">
        <f>IF($C$2="Tier 1 — Amazon (now)",L6,IF($C$2="Tier 2 — Mid wholesale",M6,N6))</f>
        <v/>
      </c>
      <c r="P6" s="16" t="inlineStr">
        <is>
          <t>CK Products 5lb on Amazon; Bakers Authority 45lb; Webstaurant bulk.</t>
        </is>
      </c>
    </row>
    <row r="7">
      <c r="A7" s="9" t="inlineStr">
        <is>
          <t>Water (filtered)</t>
        </is>
      </c>
      <c r="B7" s="10" t="inlineStr">
        <is>
          <t>ml</t>
        </is>
      </c>
      <c r="C7" s="11" t="n">
        <v>1000</v>
      </c>
      <c r="D7" s="12" t="n">
        <v>0</v>
      </c>
      <c r="E7" s="10" t="inlineStr">
        <is>
          <t>—</t>
        </is>
      </c>
      <c r="F7" s="11" t="n">
        <v>1000</v>
      </c>
      <c r="G7" s="12" t="n">
        <v>0</v>
      </c>
      <c r="H7" s="10" t="inlineStr">
        <is>
          <t>—</t>
        </is>
      </c>
      <c r="I7" s="11" t="n">
        <v>1000</v>
      </c>
      <c r="J7" s="12" t="n">
        <v>0</v>
      </c>
      <c r="K7" s="10" t="inlineStr">
        <is>
          <t>—</t>
        </is>
      </c>
      <c r="L7" s="14">
        <f>IFERROR(D7/C7,0)</f>
        <v/>
      </c>
      <c r="M7" s="14">
        <f>IFERROR(G7/F7,0)</f>
        <v/>
      </c>
      <c r="N7" s="14">
        <f>IFERROR(J7/I7,0)</f>
        <v/>
      </c>
      <c r="O7" s="15">
        <f>IF($C$2="Tier 1 — Amazon (now)",L7,IF($C$2="Tier 2 — Mid wholesale",M7,N7))</f>
        <v/>
      </c>
      <c r="P7" s="16" t="inlineStr">
        <is>
          <t>Tap/filtered — effectively free.</t>
        </is>
      </c>
    </row>
    <row r="8">
      <c r="A8" s="9" t="inlineStr">
        <is>
          <t>Monk fruit extract</t>
        </is>
      </c>
      <c r="B8" s="10" t="inlineStr">
        <is>
          <t>g</t>
        </is>
      </c>
      <c r="C8" s="11" t="n">
        <v>454</v>
      </c>
      <c r="D8" s="12" t="n">
        <v>20</v>
      </c>
      <c r="E8" s="13" t="inlineStr">
        <is>
          <t>View source</t>
        </is>
      </c>
      <c r="F8" s="11" t="n">
        <v>5000</v>
      </c>
      <c r="G8" s="12" t="n">
        <v>150</v>
      </c>
      <c r="H8" s="13" t="inlineStr">
        <is>
          <t>View source</t>
        </is>
      </c>
      <c r="I8" s="11" t="n">
        <v>25000</v>
      </c>
      <c r="J8" s="12" t="n">
        <v>500</v>
      </c>
      <c r="K8" s="13" t="inlineStr">
        <is>
          <t>View source</t>
        </is>
      </c>
      <c r="L8" s="14">
        <f>IFERROR(D8/C8,0)</f>
        <v/>
      </c>
      <c r="M8" s="14">
        <f>IFERROR(G8/F8,0)</f>
        <v/>
      </c>
      <c r="N8" s="14">
        <f>IFERROR(J8/I8,0)</f>
        <v/>
      </c>
      <c r="O8" s="15">
        <f>IF($C$2="Tier 1 — Amazon (now)",L8,IF($C$2="Tier 2 — Mid wholesale",M8,N8))</f>
        <v/>
      </c>
      <c r="P8" s="16" t="inlineStr">
        <is>
          <t>BulkSupplements 1lb on Amazon; wholesale portal for 5kg; Nutri Avenue 25kg factory.</t>
        </is>
      </c>
    </row>
    <row r="9">
      <c r="A9" s="9" t="inlineStr">
        <is>
          <t>Xylitol</t>
        </is>
      </c>
      <c r="B9" s="10" t="inlineStr">
        <is>
          <t>g</t>
        </is>
      </c>
      <c r="C9" s="11" t="n">
        <v>1360</v>
      </c>
      <c r="D9" s="12" t="n">
        <v>20</v>
      </c>
      <c r="E9" s="13" t="inlineStr">
        <is>
          <t>View source</t>
        </is>
      </c>
      <c r="F9" s="11" t="n">
        <v>9070</v>
      </c>
      <c r="G9" s="12" t="n">
        <v>90</v>
      </c>
      <c r="H9" s="13" t="inlineStr">
        <is>
          <t>View source</t>
        </is>
      </c>
      <c r="I9" s="11" t="n">
        <v>22680</v>
      </c>
      <c r="J9" s="12" t="n">
        <v>180</v>
      </c>
      <c r="K9" s="13" t="inlineStr">
        <is>
          <t>View source</t>
        </is>
      </c>
      <c r="L9" s="14">
        <f>IFERROR(D9/C9,0)</f>
        <v/>
      </c>
      <c r="M9" s="14">
        <f>IFERROR(G9/F9,0)</f>
        <v/>
      </c>
      <c r="N9" s="14">
        <f>IFERROR(J9/I9,0)</f>
        <v/>
      </c>
      <c r="O9" s="15">
        <f>IF($C$2="Tier 1 — Amazon (now)",L9,IF($C$2="Tier 2 — Mid wholesale",M9,N9))</f>
        <v/>
      </c>
      <c r="P9" s="16" t="inlineStr">
        <is>
          <t>Anthony's 3lb Amazon; Webstaurant 20lb; Bulk Apothecary 50lb.</t>
        </is>
      </c>
    </row>
    <row r="10">
      <c r="A10" s="9" t="inlineStr">
        <is>
          <t>Coconut oil (refined)</t>
        </is>
      </c>
      <c r="B10" s="10" t="inlineStr">
        <is>
          <t>g</t>
        </is>
      </c>
      <c r="C10" s="11" t="n">
        <v>858</v>
      </c>
      <c r="D10" s="12" t="n">
        <v>14</v>
      </c>
      <c r="E10" s="13" t="inlineStr">
        <is>
          <t>View source</t>
        </is>
      </c>
      <c r="F10" s="11" t="n">
        <v>4000</v>
      </c>
      <c r="G10" s="12" t="n">
        <v>50</v>
      </c>
      <c r="H10" s="13" t="inlineStr">
        <is>
          <t>View source</t>
        </is>
      </c>
      <c r="I10" s="11" t="n">
        <v>17000</v>
      </c>
      <c r="J10" s="12" t="n">
        <v>130</v>
      </c>
      <c r="K10" s="13" t="inlineStr">
        <is>
          <t>View source</t>
        </is>
      </c>
      <c r="L10" s="14">
        <f>IFERROR(D10/C10,0)</f>
        <v/>
      </c>
      <c r="M10" s="14">
        <f>IFERROR(G10/F10,0)</f>
        <v/>
      </c>
      <c r="N10" s="14">
        <f>IFERROR(J10/I10,0)</f>
        <v/>
      </c>
      <c r="O10" s="15">
        <f>IF($C$2="Tier 1 — Amazon (now)",L10,IF($C$2="Tier 2 — Mid wholesale",M10,N10))</f>
        <v/>
      </c>
      <c r="P10" s="16" t="inlineStr">
        <is>
          <t>Spectrum 30oz Amazon; Webstaurant gallon; Jedwards 5gal.</t>
        </is>
      </c>
    </row>
    <row r="11">
      <c r="A11" s="9" t="inlineStr">
        <is>
          <t>Jambu oleoresin (8-10% spilanthol)</t>
        </is>
      </c>
      <c r="B11" s="10" t="inlineStr">
        <is>
          <t>g</t>
        </is>
      </c>
      <c r="C11" s="11" t="n">
        <v>30</v>
      </c>
      <c r="D11" s="12" t="n">
        <v>80</v>
      </c>
      <c r="E11" s="13" t="inlineStr">
        <is>
          <t>View source</t>
        </is>
      </c>
      <c r="F11" s="11" t="n">
        <v>100</v>
      </c>
      <c r="G11" s="12" t="n">
        <v>200</v>
      </c>
      <c r="H11" s="13" t="inlineStr">
        <is>
          <t>View source</t>
        </is>
      </c>
      <c r="I11" s="11" t="n">
        <v>1000</v>
      </c>
      <c r="J11" s="12" t="n">
        <v>1200</v>
      </c>
      <c r="K11" s="13" t="inlineStr">
        <is>
          <t>View source</t>
        </is>
      </c>
      <c r="L11" s="14">
        <f>IFERROR(D11/C11,0)</f>
        <v/>
      </c>
      <c r="M11" s="14">
        <f>IFERROR(G11/F11,0)</f>
        <v/>
      </c>
      <c r="N11" s="14">
        <f>IFERROR(J11/I11,0)</f>
        <v/>
      </c>
      <c r="O11" s="15">
        <f>IF($C$2="Tier 1 — Amazon (now)",L11,IF($C$2="Tier 2 — Mid wholesale",M11,N11))</f>
        <v/>
      </c>
      <c r="P11" s="16" t="inlineStr">
        <is>
          <t>Specialty. Nativilis on Amazon is cosmetic-grade — for food use, source S.A. Herbal Bioactives or Ingredients Online direct.</t>
        </is>
      </c>
    </row>
    <row r="12">
      <c r="A12" s="9" t="inlineStr">
        <is>
          <t>Theobromine powder</t>
        </is>
      </c>
      <c r="B12" s="10" t="inlineStr">
        <is>
          <t>g</t>
        </is>
      </c>
      <c r="C12" s="11" t="n">
        <v>1000</v>
      </c>
      <c r="D12" s="12" t="n">
        <v>30</v>
      </c>
      <c r="E12" s="13" t="inlineStr">
        <is>
          <t>View source</t>
        </is>
      </c>
      <c r="F12" s="11" t="n">
        <v>5000</v>
      </c>
      <c r="G12" s="12" t="n">
        <v>110</v>
      </c>
      <c r="H12" s="13" t="inlineStr">
        <is>
          <t>View source</t>
        </is>
      </c>
      <c r="I12" s="11" t="n">
        <v>25000</v>
      </c>
      <c r="J12" s="12" t="n">
        <v>400</v>
      </c>
      <c r="K12" s="13" t="inlineStr">
        <is>
          <t>View source</t>
        </is>
      </c>
      <c r="L12" s="14">
        <f>IFERROR(D12/C12,0)</f>
        <v/>
      </c>
      <c r="M12" s="14">
        <f>IFERROR(G12/F12,0)</f>
        <v/>
      </c>
      <c r="N12" s="14">
        <f>IFERROR(J12/I12,0)</f>
        <v/>
      </c>
      <c r="O12" s="15">
        <f>IF($C$2="Tier 1 — Amazon (now)",L12,IF($C$2="Tier 2 — Mid wholesale",M12,N12))</f>
        <v/>
      </c>
      <c r="P12" s="16" t="inlineStr">
        <is>
          <t>BulkSupplements 1kg on Amazon; wholesale portal 5kg; Nutri Avenue 25kg drum.</t>
        </is>
      </c>
    </row>
    <row r="13">
      <c r="A13" s="9" t="inlineStr">
        <is>
          <t>Magnesium glycinate powder</t>
        </is>
      </c>
      <c r="B13" s="10" t="inlineStr">
        <is>
          <t>g</t>
        </is>
      </c>
      <c r="C13" s="11" t="n">
        <v>1000</v>
      </c>
      <c r="D13" s="12" t="n">
        <v>25</v>
      </c>
      <c r="E13" s="13" t="inlineStr">
        <is>
          <t>View source</t>
        </is>
      </c>
      <c r="F13" s="11" t="n">
        <v>5000</v>
      </c>
      <c r="G13" s="12" t="n">
        <v>90</v>
      </c>
      <c r="H13" s="13" t="inlineStr">
        <is>
          <t>View source</t>
        </is>
      </c>
      <c r="I13" s="11" t="n">
        <v>25000</v>
      </c>
      <c r="J13" s="12" t="n">
        <v>350</v>
      </c>
      <c r="K13" s="13" t="inlineStr">
        <is>
          <t>View source</t>
        </is>
      </c>
      <c r="L13" s="14">
        <f>IFERROR(D13/C13,0)</f>
        <v/>
      </c>
      <c r="M13" s="14">
        <f>IFERROR(G13/F13,0)</f>
        <v/>
      </c>
      <c r="N13" s="14">
        <f>IFERROR(J13/I13,0)</f>
        <v/>
      </c>
      <c r="O13" s="15">
        <f>IF($C$2="Tier 1 — Amazon (now)",L13,IF($C$2="Tier 2 — Mid wholesale",M13,N13))</f>
        <v/>
      </c>
      <c r="P13" s="16" t="inlineStr">
        <is>
          <t>BulkSupplements 1kg; wholesale 5kg; Maxmedchem 25kg MOQ.</t>
        </is>
      </c>
    </row>
    <row r="14">
      <c r="A14" s="9" t="inlineStr">
        <is>
          <t>Taurine powder</t>
        </is>
      </c>
      <c r="B14" s="10" t="inlineStr">
        <is>
          <t>g</t>
        </is>
      </c>
      <c r="C14" s="11" t="n">
        <v>1000</v>
      </c>
      <c r="D14" s="12" t="n">
        <v>20</v>
      </c>
      <c r="E14" s="13" t="inlineStr">
        <is>
          <t>View source</t>
        </is>
      </c>
      <c r="F14" s="11" t="n">
        <v>5000</v>
      </c>
      <c r="G14" s="12" t="n">
        <v>75</v>
      </c>
      <c r="H14" s="13" t="inlineStr">
        <is>
          <t>View source</t>
        </is>
      </c>
      <c r="I14" s="11" t="n">
        <v>25000</v>
      </c>
      <c r="J14" s="12" t="n">
        <v>250</v>
      </c>
      <c r="K14" s="13" t="inlineStr">
        <is>
          <t>View source</t>
        </is>
      </c>
      <c r="L14" s="14">
        <f>IFERROR(D14/C14,0)</f>
        <v/>
      </c>
      <c r="M14" s="14">
        <f>IFERROR(G14/F14,0)</f>
        <v/>
      </c>
      <c r="N14" s="14">
        <f>IFERROR(J14/I14,0)</f>
        <v/>
      </c>
      <c r="O14" s="15">
        <f>IF($C$2="Tier 1 — Amazon (now)",L14,IF($C$2="Tier 2 — Mid wholesale",M14,N14))</f>
        <v/>
      </c>
      <c r="P14" s="16" t="inlineStr">
        <is>
          <t>BulkSupplements 1kg; wholesale; Nutri Avenue factory.</t>
        </is>
      </c>
    </row>
    <row r="15">
      <c r="A15" s="9" t="inlineStr">
        <is>
          <t>B12 (methylcobalamin) powder</t>
        </is>
      </c>
      <c r="B15" s="10" t="inlineStr">
        <is>
          <t>g</t>
        </is>
      </c>
      <c r="C15" s="11" t="n">
        <v>10</v>
      </c>
      <c r="D15" s="12" t="n">
        <v>15</v>
      </c>
      <c r="E15" s="13" t="inlineStr">
        <is>
          <t>View source</t>
        </is>
      </c>
      <c r="F15" s="11" t="n">
        <v>100</v>
      </c>
      <c r="G15" s="12" t="n">
        <v>100</v>
      </c>
      <c r="H15" s="13" t="inlineStr">
        <is>
          <t>View source</t>
        </is>
      </c>
      <c r="I15" s="11" t="n">
        <v>1000</v>
      </c>
      <c r="J15" s="12" t="n">
        <v>700</v>
      </c>
      <c r="K15" s="13" t="inlineStr">
        <is>
          <t>View source</t>
        </is>
      </c>
      <c r="L15" s="14">
        <f>IFERROR(D15/C15,0)</f>
        <v/>
      </c>
      <c r="M15" s="14">
        <f>IFERROR(G15/F15,0)</f>
        <v/>
      </c>
      <c r="N15" s="14">
        <f>IFERROR(J15/I15,0)</f>
        <v/>
      </c>
      <c r="O15" s="15">
        <f>IF($C$2="Tier 1 — Amazon (now)",L15,IF($C$2="Tier 2 — Mid wholesale",M15,N15))</f>
        <v/>
      </c>
      <c r="P15" s="16" t="inlineStr">
        <is>
          <t>Tiny dose — 10g lasts thousands of pops at 1mg each.</t>
        </is>
      </c>
    </row>
    <row r="16">
      <c r="A16" s="9" t="inlineStr">
        <is>
          <t>Sacred Eats Keto Recharge electrolyte blend</t>
        </is>
      </c>
      <c r="B16" s="10" t="inlineStr">
        <is>
          <t>g</t>
        </is>
      </c>
      <c r="C16" s="11" t="n">
        <v>325</v>
      </c>
      <c r="D16" s="12" t="n">
        <v>36.97</v>
      </c>
      <c r="E16" s="13" t="inlineStr">
        <is>
          <t>View source</t>
        </is>
      </c>
      <c r="F16" s="11" t="n">
        <v>3250</v>
      </c>
      <c r="G16" s="12" t="n">
        <v>300</v>
      </c>
      <c r="H16" s="13" t="inlineStr">
        <is>
          <t>View source</t>
        </is>
      </c>
      <c r="I16" s="11" t="n">
        <v>32500</v>
      </c>
      <c r="J16" s="12" t="n">
        <v>2400</v>
      </c>
      <c r="K16" s="13" t="inlineStr">
        <is>
          <t>View source</t>
        </is>
      </c>
      <c r="L16" s="14">
        <f>IFERROR(D16/C16,0)</f>
        <v/>
      </c>
      <c r="M16" s="14">
        <f>IFERROR(G16/F16,0)</f>
        <v/>
      </c>
      <c r="N16" s="14">
        <f>IFERROR(J16/I16,0)</f>
        <v/>
      </c>
      <c r="O16" s="15">
        <f>IF($C$2="Tier 1 — Amazon (now)",L16,IF($C$2="Tier 2 — Mid wholesale",M16,N16))</f>
        <v/>
      </c>
      <c r="P16" s="16" t="inlineStr">
        <is>
          <t>Brand-specific blend. Direct wholesale via Sacred Eats — contact for bulk.</t>
        </is>
      </c>
    </row>
    <row r="17">
      <c r="A17" s="9" t="inlineStr">
        <is>
          <t>Ginseng extract powder</t>
        </is>
      </c>
      <c r="B17" s="10" t="inlineStr">
        <is>
          <t>g</t>
        </is>
      </c>
      <c r="C17" s="11" t="n">
        <v>500</v>
      </c>
      <c r="D17" s="12" t="n">
        <v>25</v>
      </c>
      <c r="E17" s="13" t="inlineStr">
        <is>
          <t>View source</t>
        </is>
      </c>
      <c r="F17" s="11" t="n">
        <v>5000</v>
      </c>
      <c r="G17" s="12" t="n">
        <v>180</v>
      </c>
      <c r="H17" s="13" t="inlineStr">
        <is>
          <t>View source</t>
        </is>
      </c>
      <c r="I17" s="11" t="n">
        <v>25000</v>
      </c>
      <c r="J17" s="12" t="n">
        <v>600</v>
      </c>
      <c r="K17" s="13" t="inlineStr">
        <is>
          <t>View source</t>
        </is>
      </c>
      <c r="L17" s="14">
        <f>IFERROR(D17/C17,0)</f>
        <v/>
      </c>
      <c r="M17" s="14">
        <f>IFERROR(G17/F17,0)</f>
        <v/>
      </c>
      <c r="N17" s="14">
        <f>IFERROR(J17/I17,0)</f>
        <v/>
      </c>
      <c r="O17" s="15">
        <f>IF($C$2="Tier 1 — Amazon (now)",L17,IF($C$2="Tier 2 — Mid wholesale",M17,N17))</f>
        <v/>
      </c>
      <c r="P17" s="16" t="inlineStr">
        <is>
          <t>For Kiwi Pop v2.0.</t>
        </is>
      </c>
    </row>
    <row r="18">
      <c r="A18" s="9" t="inlineStr">
        <is>
          <t>Spirulina powder (organic)</t>
        </is>
      </c>
      <c r="B18" s="10" t="inlineStr">
        <is>
          <t>g</t>
        </is>
      </c>
      <c r="C18" s="11" t="n">
        <v>1000</v>
      </c>
      <c r="D18" s="12" t="n">
        <v>35</v>
      </c>
      <c r="E18" s="13" t="inlineStr">
        <is>
          <t>View source</t>
        </is>
      </c>
      <c r="F18" s="11" t="n">
        <v>5000</v>
      </c>
      <c r="G18" s="12" t="n">
        <v>130</v>
      </c>
      <c r="H18" s="13" t="inlineStr">
        <is>
          <t>View source</t>
        </is>
      </c>
      <c r="I18" s="11" t="n">
        <v>25000</v>
      </c>
      <c r="J18" s="12" t="n">
        <v>450</v>
      </c>
      <c r="K18" s="13" t="inlineStr">
        <is>
          <t>View source</t>
        </is>
      </c>
      <c r="L18" s="14">
        <f>IFERROR(D18/C18,0)</f>
        <v/>
      </c>
      <c r="M18" s="14">
        <f>IFERROR(G18/F18,0)</f>
        <v/>
      </c>
      <c r="N18" s="14">
        <f>IFERROR(J18/I18,0)</f>
        <v/>
      </c>
      <c r="O18" s="15">
        <f>IF($C$2="Tier 1 — Amazon (now)",L18,IF($C$2="Tier 2 — Mid wholesale",M18,N18))</f>
        <v/>
      </c>
      <c r="P18" s="16" t="inlineStr">
        <is>
          <t>Color + nutrient for Kiwi Pop.</t>
        </is>
      </c>
    </row>
    <row r="19">
      <c r="A19" s="9" t="inlineStr">
        <is>
          <t>Ashwagandha root extract powder</t>
        </is>
      </c>
      <c r="B19" s="10" t="inlineStr">
        <is>
          <t>g</t>
        </is>
      </c>
      <c r="C19" s="11" t="n">
        <v>1000</v>
      </c>
      <c r="D19" s="12" t="n">
        <v>40</v>
      </c>
      <c r="E19" s="13" t="inlineStr">
        <is>
          <t>View source</t>
        </is>
      </c>
      <c r="F19" s="11" t="n">
        <v>5000</v>
      </c>
      <c r="G19" s="12" t="n">
        <v>150</v>
      </c>
      <c r="H19" s="13" t="inlineStr">
        <is>
          <t>View source</t>
        </is>
      </c>
      <c r="I19" s="11" t="n">
        <v>25000</v>
      </c>
      <c r="J19" s="12" t="n">
        <v>500</v>
      </c>
      <c r="K19" s="13" t="inlineStr">
        <is>
          <t>View source</t>
        </is>
      </c>
      <c r="L19" s="14">
        <f>IFERROR(D19/C19,0)</f>
        <v/>
      </c>
      <c r="M19" s="14">
        <f>IFERROR(G19/F19,0)</f>
        <v/>
      </c>
      <c r="N19" s="14">
        <f>IFERROR(J19/I19,0)</f>
        <v/>
      </c>
      <c r="O19" s="15">
        <f>IF($C$2="Tier 1 — Amazon (now)",L19,IF($C$2="Tier 2 — Mid wholesale",M19,N19))</f>
        <v/>
      </c>
      <c r="P19" s="16" t="inlineStr">
        <is>
          <t>For Lemon Ginger Pop.</t>
        </is>
      </c>
    </row>
    <row r="20">
      <c r="A20" s="9" t="inlineStr">
        <is>
          <t>Maca powder (organic)</t>
        </is>
      </c>
      <c r="B20" s="10" t="inlineStr">
        <is>
          <t>g</t>
        </is>
      </c>
      <c r="C20" s="11" t="n">
        <v>1000</v>
      </c>
      <c r="D20" s="12" t="n">
        <v>32</v>
      </c>
      <c r="E20" s="13" t="inlineStr">
        <is>
          <t>View source</t>
        </is>
      </c>
      <c r="F20" s="11" t="n">
        <v>5000</v>
      </c>
      <c r="G20" s="12" t="n">
        <v>120</v>
      </c>
      <c r="H20" s="13" t="inlineStr">
        <is>
          <t>View source</t>
        </is>
      </c>
      <c r="I20" s="11" t="n">
        <v>25000</v>
      </c>
      <c r="J20" s="12" t="n">
        <v>400</v>
      </c>
      <c r="K20" s="13" t="inlineStr">
        <is>
          <t>View source</t>
        </is>
      </c>
      <c r="L20" s="14">
        <f>IFERROR(D20/C20,0)</f>
        <v/>
      </c>
      <c r="M20" s="14">
        <f>IFERROR(G20/F20,0)</f>
        <v/>
      </c>
      <c r="N20" s="14">
        <f>IFERROR(J20/I20,0)</f>
        <v/>
      </c>
      <c r="O20" s="15">
        <f>IF($C$2="Tier 1 — Amazon (now)",L20,IF($C$2="Tier 2 — Mid wholesale",M20,N20))</f>
        <v/>
      </c>
      <c r="P20" s="16" t="inlineStr">
        <is>
          <t>For Caramel Apple Pop.</t>
        </is>
      </c>
    </row>
    <row r="21">
      <c r="A21" s="9" t="inlineStr">
        <is>
          <t>L-theanine powder</t>
        </is>
      </c>
      <c r="B21" s="10" t="inlineStr">
        <is>
          <t>g</t>
        </is>
      </c>
      <c r="C21" s="11" t="n">
        <v>1000</v>
      </c>
      <c r="D21" s="12" t="n">
        <v>50</v>
      </c>
      <c r="E21" s="13" t="inlineStr">
        <is>
          <t>View source</t>
        </is>
      </c>
      <c r="F21" s="11" t="n">
        <v>5000</v>
      </c>
      <c r="G21" s="12" t="n">
        <v>180</v>
      </c>
      <c r="H21" s="13" t="inlineStr">
        <is>
          <t>View source</t>
        </is>
      </c>
      <c r="I21" s="11" t="n">
        <v>25000</v>
      </c>
      <c r="J21" s="12" t="n">
        <v>600</v>
      </c>
      <c r="K21" s="13" t="inlineStr">
        <is>
          <t>View source</t>
        </is>
      </c>
      <c r="L21" s="14">
        <f>IFERROR(D21/C21,0)</f>
        <v/>
      </c>
      <c r="M21" s="14">
        <f>IFERROR(G21/F21,0)</f>
        <v/>
      </c>
      <c r="N21" s="14">
        <f>IFERROR(J21/I21,0)</f>
        <v/>
      </c>
      <c r="O21" s="15">
        <f>IF($C$2="Tier 1 — Amazon (now)",L21,IF($C$2="Tier 2 — Mid wholesale",M21,N21))</f>
        <v/>
      </c>
      <c r="P21" s="16" t="inlineStr">
        <is>
          <t>For Mint Pop.</t>
        </is>
      </c>
    </row>
    <row r="22">
      <c r="A22" s="9" t="inlineStr">
        <is>
          <t>Chamomile extract powder</t>
        </is>
      </c>
      <c r="B22" s="10" t="inlineStr">
        <is>
          <t>g</t>
        </is>
      </c>
      <c r="C22" s="11" t="n">
        <v>1000</v>
      </c>
      <c r="D22" s="12" t="n">
        <v>35</v>
      </c>
      <c r="E22" s="13" t="inlineStr">
        <is>
          <t>View source</t>
        </is>
      </c>
      <c r="F22" s="11" t="n">
        <v>5000</v>
      </c>
      <c r="G22" s="12" t="n">
        <v>130</v>
      </c>
      <c r="H22" s="13" t="inlineStr">
        <is>
          <t>View source</t>
        </is>
      </c>
      <c r="I22" s="11" t="n">
        <v>25000</v>
      </c>
      <c r="J22" s="12" t="n">
        <v>450</v>
      </c>
      <c r="K22" s="13" t="inlineStr">
        <is>
          <t>View source</t>
        </is>
      </c>
      <c r="L22" s="14">
        <f>IFERROR(D22/C22,0)</f>
        <v/>
      </c>
      <c r="M22" s="14">
        <f>IFERROR(G22/F22,0)</f>
        <v/>
      </c>
      <c r="N22" s="14">
        <f>IFERROR(J22/I22,0)</f>
        <v/>
      </c>
      <c r="O22" s="15">
        <f>IF($C$2="Tier 1 — Amazon (now)",L22,IF($C$2="Tier 2 — Mid wholesale",M22,N22))</f>
        <v/>
      </c>
      <c r="P22" s="16" t="inlineStr">
        <is>
          <t>For Mint Pop.</t>
        </is>
      </c>
    </row>
    <row r="23">
      <c r="A23" s="9" t="inlineStr">
        <is>
          <t>Kiwi powder (freeze-dried)</t>
        </is>
      </c>
      <c r="B23" s="10" t="inlineStr">
        <is>
          <t>g</t>
        </is>
      </c>
      <c r="C23" s="11" t="n">
        <v>227</v>
      </c>
      <c r="D23" s="12" t="n">
        <v>15</v>
      </c>
      <c r="E23" s="13" t="inlineStr">
        <is>
          <t>View source</t>
        </is>
      </c>
      <c r="F23" s="11" t="n">
        <v>1000</v>
      </c>
      <c r="G23" s="12" t="n">
        <v>50</v>
      </c>
      <c r="H23" s="13" t="inlineStr">
        <is>
          <t>View source</t>
        </is>
      </c>
      <c r="I23" s="11" t="n">
        <v>5000</v>
      </c>
      <c r="J23" s="12" t="n">
        <v>200</v>
      </c>
      <c r="K23" s="13" t="inlineStr">
        <is>
          <t>View source</t>
        </is>
      </c>
      <c r="L23" s="14">
        <f>IFERROR(D23/C23,0)</f>
        <v/>
      </c>
      <c r="M23" s="14">
        <f>IFERROR(G23/F23,0)</f>
        <v/>
      </c>
      <c r="N23" s="14">
        <f>IFERROR(J23/I23,0)</f>
        <v/>
      </c>
      <c r="O23" s="15">
        <f>IF($C$2="Tier 1 — Amazon (now)",L23,IF($C$2="Tier 2 — Mid wholesale",M23,N23))</f>
        <v/>
      </c>
      <c r="P23" s="16" t="inlineStr">
        <is>
          <t>Kiwi Pop flavor base + color.</t>
        </is>
      </c>
    </row>
    <row r="24">
      <c r="A24" s="9" t="inlineStr">
        <is>
          <t>Lemon powder (freeze-dried)</t>
        </is>
      </c>
      <c r="B24" s="10" t="inlineStr">
        <is>
          <t>g</t>
        </is>
      </c>
      <c r="C24" s="11" t="n">
        <v>141</v>
      </c>
      <c r="D24" s="12" t="n">
        <v>18</v>
      </c>
      <c r="E24" s="13" t="inlineStr">
        <is>
          <t>View source</t>
        </is>
      </c>
      <c r="F24" s="11" t="n">
        <v>1000</v>
      </c>
      <c r="G24" s="12" t="n">
        <v>80</v>
      </c>
      <c r="H24" s="13" t="inlineStr">
        <is>
          <t>View source</t>
        </is>
      </c>
      <c r="I24" s="11" t="n">
        <v>5000</v>
      </c>
      <c r="J24" s="12" t="n">
        <v>300</v>
      </c>
      <c r="K24" s="13" t="inlineStr">
        <is>
          <t>View source</t>
        </is>
      </c>
      <c r="L24" s="14">
        <f>IFERROR(D24/C24,0)</f>
        <v/>
      </c>
      <c r="M24" s="14">
        <f>IFERROR(G24/F24,0)</f>
        <v/>
      </c>
      <c r="N24" s="14">
        <f>IFERROR(J24/I24,0)</f>
        <v/>
      </c>
      <c r="O24" s="15">
        <f>IF($C$2="Tier 1 — Amazon (now)",L24,IF($C$2="Tier 2 — Mid wholesale",M24,N24))</f>
        <v/>
      </c>
      <c r="P24" s="16" t="inlineStr">
        <is>
          <t>Lemon Ginger Pop.</t>
        </is>
      </c>
    </row>
    <row r="25">
      <c r="A25" s="9" t="inlineStr">
        <is>
          <t>Ginger powder (organic ground)</t>
        </is>
      </c>
      <c r="B25" s="10" t="inlineStr">
        <is>
          <t>g</t>
        </is>
      </c>
      <c r="C25" s="11" t="n">
        <v>454</v>
      </c>
      <c r="D25" s="12" t="n">
        <v>15</v>
      </c>
      <c r="E25" s="13" t="inlineStr">
        <is>
          <t>View source</t>
        </is>
      </c>
      <c r="F25" s="11" t="n">
        <v>2270</v>
      </c>
      <c r="G25" s="12" t="n">
        <v>50</v>
      </c>
      <c r="H25" s="13" t="inlineStr">
        <is>
          <t>View source</t>
        </is>
      </c>
      <c r="I25" s="11" t="n">
        <v>11340</v>
      </c>
      <c r="J25" s="12" t="n">
        <v>180</v>
      </c>
      <c r="K25" s="13" t="inlineStr">
        <is>
          <t>View source</t>
        </is>
      </c>
      <c r="L25" s="14">
        <f>IFERROR(D25/C25,0)</f>
        <v/>
      </c>
      <c r="M25" s="14">
        <f>IFERROR(G25/F25,0)</f>
        <v/>
      </c>
      <c r="N25" s="14">
        <f>IFERROR(J25/I25,0)</f>
        <v/>
      </c>
      <c r="O25" s="15">
        <f>IF($C$2="Tier 1 — Amazon (now)",L25,IF($C$2="Tier 2 — Mid wholesale",M25,N25))</f>
        <v/>
      </c>
      <c r="P25" s="16" t="inlineStr">
        <is>
          <t>Lemon Ginger Pop.</t>
        </is>
      </c>
    </row>
    <row r="26">
      <c r="A26" s="9" t="inlineStr">
        <is>
          <t>Turmeric extract (95% curcumin)</t>
        </is>
      </c>
      <c r="B26" s="10" t="inlineStr">
        <is>
          <t>g</t>
        </is>
      </c>
      <c r="C26" s="11" t="n">
        <v>250</v>
      </c>
      <c r="D26" s="12" t="n">
        <v>22</v>
      </c>
      <c r="E26" s="13" t="inlineStr">
        <is>
          <t>View source</t>
        </is>
      </c>
      <c r="F26" s="11" t="n">
        <v>1000</v>
      </c>
      <c r="G26" s="12" t="n">
        <v>60</v>
      </c>
      <c r="H26" s="13" t="inlineStr">
        <is>
          <t>View source</t>
        </is>
      </c>
      <c r="I26" s="11" t="n">
        <v>5000</v>
      </c>
      <c r="J26" s="12" t="n">
        <v>200</v>
      </c>
      <c r="K26" s="13" t="inlineStr">
        <is>
          <t>View source</t>
        </is>
      </c>
      <c r="L26" s="14">
        <f>IFERROR(D26/C26,0)</f>
        <v/>
      </c>
      <c r="M26" s="14">
        <f>IFERROR(G26/F26,0)</f>
        <v/>
      </c>
      <c r="N26" s="14">
        <f>IFERROR(J26/I26,0)</f>
        <v/>
      </c>
      <c r="O26" s="15">
        <f>IF($C$2="Tier 1 — Amazon (now)",L26,IF($C$2="Tier 2 — Mid wholesale",M26,N26))</f>
        <v/>
      </c>
      <c r="P26" s="16" t="inlineStr">
        <is>
          <t>Lemon Ginger color/warmth.</t>
        </is>
      </c>
    </row>
    <row r="27">
      <c r="A27" s="9" t="inlineStr">
        <is>
          <t>Apple powder (freeze-dried)</t>
        </is>
      </c>
      <c r="B27" s="10" t="inlineStr">
        <is>
          <t>g</t>
        </is>
      </c>
      <c r="C27" s="11" t="n">
        <v>200</v>
      </c>
      <c r="D27" s="12" t="n">
        <v>20</v>
      </c>
      <c r="E27" s="13" t="inlineStr">
        <is>
          <t>View source</t>
        </is>
      </c>
      <c r="F27" s="11" t="n">
        <v>1000</v>
      </c>
      <c r="G27" s="12" t="n">
        <v>60</v>
      </c>
      <c r="H27" s="13" t="inlineStr">
        <is>
          <t>View source</t>
        </is>
      </c>
      <c r="I27" s="11" t="n">
        <v>9070</v>
      </c>
      <c r="J27" s="12" t="n">
        <v>250</v>
      </c>
      <c r="K27" s="13" t="inlineStr">
        <is>
          <t>View source</t>
        </is>
      </c>
      <c r="L27" s="14">
        <f>IFERROR(D27/C27,0)</f>
        <v/>
      </c>
      <c r="M27" s="14">
        <f>IFERROR(G27/F27,0)</f>
        <v/>
      </c>
      <c r="N27" s="14">
        <f>IFERROR(J27/I27,0)</f>
        <v/>
      </c>
      <c r="O27" s="15">
        <f>IF($C$2="Tier 1 — Amazon (now)",L27,IF($C$2="Tier 2 — Mid wholesale",M27,N27))</f>
        <v/>
      </c>
      <c r="P27" s="16" t="inlineStr">
        <is>
          <t>Caramel Apple Pop. Fierce Fruit reportedly $3.50/lb at 500lb.</t>
        </is>
      </c>
    </row>
    <row r="28">
      <c r="A28" s="9" t="inlineStr">
        <is>
          <t>Lucuma powder (organic)</t>
        </is>
      </c>
      <c r="B28" s="10" t="inlineStr">
        <is>
          <t>g</t>
        </is>
      </c>
      <c r="C28" s="11" t="n">
        <v>454</v>
      </c>
      <c r="D28" s="12" t="n">
        <v>18</v>
      </c>
      <c r="E28" s="13" t="inlineStr">
        <is>
          <t>View source</t>
        </is>
      </c>
      <c r="F28" s="11" t="n">
        <v>2270</v>
      </c>
      <c r="G28" s="12" t="n">
        <v>70</v>
      </c>
      <c r="H28" s="13" t="inlineStr">
        <is>
          <t>View source</t>
        </is>
      </c>
      <c r="I28" s="11" t="n">
        <v>25000</v>
      </c>
      <c r="J28" s="12" t="n">
        <v>400</v>
      </c>
      <c r="K28" s="13" t="inlineStr">
        <is>
          <t>View source</t>
        </is>
      </c>
      <c r="L28" s="14">
        <f>IFERROR(D28/C28,0)</f>
        <v/>
      </c>
      <c r="M28" s="14">
        <f>IFERROR(G28/F28,0)</f>
        <v/>
      </c>
      <c r="N28" s="14">
        <f>IFERROR(J28/I28,0)</f>
        <v/>
      </c>
      <c r="O28" s="15">
        <f>IF($C$2="Tier 1 — Amazon (now)",L28,IF($C$2="Tier 2 — Mid wholesale",M28,N28))</f>
        <v/>
      </c>
      <c r="P28" s="16" t="inlineStr">
        <is>
          <t>Caramel Apple — natural caramel/butterscotch backbone.</t>
        </is>
      </c>
    </row>
    <row r="29">
      <c r="A29" s="9" t="inlineStr">
        <is>
          <t>Caramel extract (natural)</t>
        </is>
      </c>
      <c r="B29" s="10" t="inlineStr">
        <is>
          <t>ml</t>
        </is>
      </c>
      <c r="C29" s="11" t="n">
        <v>118</v>
      </c>
      <c r="D29" s="12" t="n">
        <v>14</v>
      </c>
      <c r="E29" s="13" t="inlineStr">
        <is>
          <t>View source</t>
        </is>
      </c>
      <c r="F29" s="11" t="n">
        <v>946</v>
      </c>
      <c r="G29" s="12" t="n">
        <v>50</v>
      </c>
      <c r="H29" s="13" t="inlineStr">
        <is>
          <t>View source</t>
        </is>
      </c>
      <c r="I29" s="11" t="n">
        <v>3785</v>
      </c>
      <c r="J29" s="12" t="n">
        <v>150</v>
      </c>
      <c r="K29" s="13" t="inlineStr">
        <is>
          <t>View source</t>
        </is>
      </c>
      <c r="L29" s="14">
        <f>IFERROR(D29/C29,0)</f>
        <v/>
      </c>
      <c r="M29" s="14">
        <f>IFERROR(G29/F29,0)</f>
        <v/>
      </c>
      <c r="N29" s="14">
        <f>IFERROR(J29/I29,0)</f>
        <v/>
      </c>
      <c r="O29" s="15">
        <f>IF($C$2="Tier 1 — Amazon (now)",L29,IF($C$2="Tier 2 — Mid wholesale",M29,N29))</f>
        <v/>
      </c>
      <c r="P29" s="16" t="inlineStr">
        <is>
          <t>Caramel Apple Pop. Mount Hope qt / OliveNation gal.</t>
        </is>
      </c>
    </row>
    <row r="30">
      <c r="A30" s="9" t="inlineStr">
        <is>
          <t>Cinnamon powder (Ceylon)</t>
        </is>
      </c>
      <c r="B30" s="10" t="inlineStr">
        <is>
          <t>g</t>
        </is>
      </c>
      <c r="C30" s="11" t="n">
        <v>454</v>
      </c>
      <c r="D30" s="12" t="n">
        <v>12</v>
      </c>
      <c r="E30" s="13" t="inlineStr">
        <is>
          <t>View source</t>
        </is>
      </c>
      <c r="F30" s="11" t="n">
        <v>2270</v>
      </c>
      <c r="G30" s="12" t="n">
        <v>40</v>
      </c>
      <c r="H30" s="13" t="inlineStr">
        <is>
          <t>View source</t>
        </is>
      </c>
      <c r="I30" s="11" t="n">
        <v>11340</v>
      </c>
      <c r="J30" s="12" t="n">
        <v>150</v>
      </c>
      <c r="K30" s="13" t="inlineStr">
        <is>
          <t>View source</t>
        </is>
      </c>
      <c r="L30" s="14">
        <f>IFERROR(D30/C30,0)</f>
        <v/>
      </c>
      <c r="M30" s="14">
        <f>IFERROR(G30/F30,0)</f>
        <v/>
      </c>
      <c r="N30" s="14">
        <f>IFERROR(J30/I30,0)</f>
        <v/>
      </c>
      <c r="O30" s="15">
        <f>IF($C$2="Tier 1 — Amazon (now)",L30,IF($C$2="Tier 2 — Mid wholesale",M30,N30))</f>
        <v/>
      </c>
      <c r="P30" s="16" t="inlineStr">
        <is>
          <t>Caramel Apple Pop.</t>
        </is>
      </c>
    </row>
    <row r="31">
      <c r="A31" s="9" t="inlineStr">
        <is>
          <t>Matcha powder (culinary grade)</t>
        </is>
      </c>
      <c r="B31" s="10" t="inlineStr">
        <is>
          <t>g</t>
        </is>
      </c>
      <c r="C31" s="11" t="n">
        <v>100</v>
      </c>
      <c r="D31" s="12" t="n">
        <v>20</v>
      </c>
      <c r="E31" s="13" t="inlineStr">
        <is>
          <t>View source</t>
        </is>
      </c>
      <c r="F31" s="11" t="n">
        <v>1000</v>
      </c>
      <c r="G31" s="12" t="n">
        <v>50</v>
      </c>
      <c r="H31" s="13" t="inlineStr">
        <is>
          <t>View source</t>
        </is>
      </c>
      <c r="I31" s="11" t="n">
        <v>5000</v>
      </c>
      <c r="J31" s="12" t="n">
        <v>200</v>
      </c>
      <c r="K31" s="13" t="inlineStr">
        <is>
          <t>View source</t>
        </is>
      </c>
      <c r="L31" s="14">
        <f>IFERROR(D31/C31,0)</f>
        <v/>
      </c>
      <c r="M31" s="14">
        <f>IFERROR(G31/F31,0)</f>
        <v/>
      </c>
      <c r="N31" s="14">
        <f>IFERROR(J31/I31,0)</f>
        <v/>
      </c>
      <c r="O31" s="15">
        <f>IF($C$2="Tier 1 — Amazon (now)",L31,IF($C$2="Tier 2 — Mid wholesale",M31,N31))</f>
        <v/>
      </c>
      <c r="P31" s="16" t="inlineStr">
        <is>
          <t>Mint Pop — natural green + ~3mg caffeine/pop.</t>
        </is>
      </c>
    </row>
    <row r="32">
      <c r="A32" s="9" t="inlineStr">
        <is>
          <t>Peppermint essential oil (food grade)</t>
        </is>
      </c>
      <c r="B32" s="10" t="inlineStr">
        <is>
          <t>ml</t>
        </is>
      </c>
      <c r="C32" s="11" t="n">
        <v>30</v>
      </c>
      <c r="D32" s="12" t="n">
        <v>14</v>
      </c>
      <c r="E32" s="13" t="inlineStr">
        <is>
          <t>View source</t>
        </is>
      </c>
      <c r="F32" s="11" t="n">
        <v>118</v>
      </c>
      <c r="G32" s="12" t="n">
        <v>35</v>
      </c>
      <c r="H32" s="13" t="inlineStr">
        <is>
          <t>View source</t>
        </is>
      </c>
      <c r="I32" s="11" t="n">
        <v>946</v>
      </c>
      <c r="J32" s="12" t="n">
        <v>150</v>
      </c>
      <c r="K32" s="13" t="inlineStr">
        <is>
          <t>View source</t>
        </is>
      </c>
      <c r="L32" s="14">
        <f>IFERROR(D32/C32,0)</f>
        <v/>
      </c>
      <c r="M32" s="14">
        <f>IFERROR(G32/F32,0)</f>
        <v/>
      </c>
      <c r="N32" s="14">
        <f>IFERROR(J32/I32,0)</f>
        <v/>
      </c>
      <c r="O32" s="15">
        <f>IF($C$2="Tier 1 — Amazon (now)",L32,IF($C$2="Tier 2 — Mid wholesale",M32,N32))</f>
        <v/>
      </c>
      <c r="P32" s="16" t="inlineStr">
        <is>
          <t>Mint Pop. LorAnn 1oz / HBNO bulk.</t>
        </is>
      </c>
    </row>
    <row r="33">
      <c r="A33" s="9" t="inlineStr">
        <is>
          <t>Spearmint essential oil (food grade)</t>
        </is>
      </c>
      <c r="B33" s="10" t="inlineStr">
        <is>
          <t>ml</t>
        </is>
      </c>
      <c r="C33" s="11" t="n">
        <v>30</v>
      </c>
      <c r="D33" s="12" t="n">
        <v>14</v>
      </c>
      <c r="E33" s="13" t="inlineStr">
        <is>
          <t>View source</t>
        </is>
      </c>
      <c r="F33" s="11" t="n">
        <v>118</v>
      </c>
      <c r="G33" s="12" t="n">
        <v>35</v>
      </c>
      <c r="H33" s="13" t="inlineStr">
        <is>
          <t>View source</t>
        </is>
      </c>
      <c r="I33" s="11" t="n">
        <v>946</v>
      </c>
      <c r="J33" s="12" t="n">
        <v>150</v>
      </c>
      <c r="K33" s="13" t="inlineStr">
        <is>
          <t>View source</t>
        </is>
      </c>
      <c r="L33" s="14">
        <f>IFERROR(D33/C33,0)</f>
        <v/>
      </c>
      <c r="M33" s="14">
        <f>IFERROR(G33/F33,0)</f>
        <v/>
      </c>
      <c r="N33" s="14">
        <f>IFERROR(J33/I33,0)</f>
        <v/>
      </c>
      <c r="O33" s="15">
        <f>IF($C$2="Tier 1 — Amazon (now)",L33,IF($C$2="Tier 2 — Mid wholesale",M33,N33))</f>
        <v/>
      </c>
      <c r="P33" s="16" t="inlineStr">
        <is>
          <t>Mint Pop.</t>
        </is>
      </c>
    </row>
    <row r="34">
      <c r="A34" s="9" t="inlineStr">
        <is>
          <t>Citric acid (food grade)</t>
        </is>
      </c>
      <c r="B34" s="10" t="inlineStr">
        <is>
          <t>g</t>
        </is>
      </c>
      <c r="C34" s="11" t="n">
        <v>454</v>
      </c>
      <c r="D34" s="12" t="n">
        <v>10</v>
      </c>
      <c r="E34" s="13" t="inlineStr">
        <is>
          <t>View source</t>
        </is>
      </c>
      <c r="F34" s="11" t="n">
        <v>5000</v>
      </c>
      <c r="G34" s="12" t="n">
        <v>30</v>
      </c>
      <c r="H34" s="13" t="inlineStr">
        <is>
          <t>View source</t>
        </is>
      </c>
      <c r="I34" s="11" t="n">
        <v>22680</v>
      </c>
      <c r="J34" s="12" t="n">
        <v>80</v>
      </c>
      <c r="K34" s="13" t="inlineStr">
        <is>
          <t>View source</t>
        </is>
      </c>
      <c r="L34" s="14">
        <f>IFERROR(D34/C34,0)</f>
        <v/>
      </c>
      <c r="M34" s="14">
        <f>IFERROR(G34/F34,0)</f>
        <v/>
      </c>
      <c r="N34" s="14">
        <f>IFERROR(J34/I34,0)</f>
        <v/>
      </c>
      <c r="O34" s="15">
        <f>IF($C$2="Tier 1 — Amazon (now)",L34,IF($C$2="Tier 2 — Mid wholesale",M34,N34))</f>
        <v/>
      </c>
      <c r="P34" s="16" t="inlineStr">
        <is>
          <t>Universal acid. Cheap to scale.</t>
        </is>
      </c>
    </row>
    <row r="35">
      <c r="A35" s="9" t="inlineStr">
        <is>
          <t>Edible glitter (gold/bronze/silver)</t>
        </is>
      </c>
      <c r="B35" s="10" t="inlineStr">
        <is>
          <t>g</t>
        </is>
      </c>
      <c r="C35" s="11" t="n">
        <v>4</v>
      </c>
      <c r="D35" s="12" t="n">
        <v>8</v>
      </c>
      <c r="E35" s="13" t="inlineStr">
        <is>
          <t>View source</t>
        </is>
      </c>
      <c r="F35" s="11" t="n">
        <v>25</v>
      </c>
      <c r="G35" s="12" t="n">
        <v>35</v>
      </c>
      <c r="H35" s="13" t="inlineStr">
        <is>
          <t>View source</t>
        </is>
      </c>
      <c r="I35" s="11" t="n">
        <v>100</v>
      </c>
      <c r="J35" s="12" t="n">
        <v>100</v>
      </c>
      <c r="K35" s="13" t="inlineStr">
        <is>
          <t>View source</t>
        </is>
      </c>
      <c r="L35" s="14">
        <f>IFERROR(D35/C35,0)</f>
        <v/>
      </c>
      <c r="M35" s="14">
        <f>IFERROR(G35/F35,0)</f>
        <v/>
      </c>
      <c r="N35" s="14">
        <f>IFERROR(J35/I35,0)</f>
        <v/>
      </c>
      <c r="O35" s="15">
        <f>IF($C$2="Tier 1 — Amazon (now)",L35,IF($C$2="Tier 2 — Mid wholesale",M35,N35))</f>
        <v/>
      </c>
      <c r="P35" s="16" t="inlineStr">
        <is>
          <t>Wilton retail / Bakell bulk / Brew Glitter wholesale.</t>
        </is>
      </c>
    </row>
    <row r="36">
      <c r="A36" s="9" t="inlineStr">
        <is>
          <t>Lollipop sticks (paper or bamboo)</t>
        </is>
      </c>
      <c r="B36" s="10" t="inlineStr">
        <is>
          <t>ea</t>
        </is>
      </c>
      <c r="C36" s="11" t="n">
        <v>100</v>
      </c>
      <c r="D36" s="12" t="n">
        <v>5</v>
      </c>
      <c r="E36" s="13" t="inlineStr">
        <is>
          <t>View source</t>
        </is>
      </c>
      <c r="F36" s="11" t="n">
        <v>1000</v>
      </c>
      <c r="G36" s="12" t="n">
        <v>35</v>
      </c>
      <c r="H36" s="13" t="inlineStr">
        <is>
          <t>View source</t>
        </is>
      </c>
      <c r="I36" s="11" t="n">
        <v>10000</v>
      </c>
      <c r="J36" s="12" t="n">
        <v>200</v>
      </c>
      <c r="K36" s="13" t="inlineStr">
        <is>
          <t>View source</t>
        </is>
      </c>
      <c r="L36" s="14">
        <f>IFERROR(D36/C36,0)</f>
        <v/>
      </c>
      <c r="M36" s="14">
        <f>IFERROR(G36/F36,0)</f>
        <v/>
      </c>
      <c r="N36" s="14">
        <f>IFERROR(J36/I36,0)</f>
        <v/>
      </c>
      <c r="O36" s="15">
        <f>IF($C$2="Tier 1 — Amazon (now)",L36,IF($C$2="Tier 2 — Mid wholesale",M36,N36))</f>
        <v/>
      </c>
      <c r="P36" s="16" t="inlineStr">
        <is>
          <t>Switch from bamboo to paper for sealing wrappers cleanly.</t>
        </is>
      </c>
    </row>
    <row r="37">
      <c r="A37" s="9" t="inlineStr">
        <is>
          <t>Lollipop wrapper (clear cello + heat seal)</t>
        </is>
      </c>
      <c r="B37" s="10" t="inlineStr">
        <is>
          <t>ea</t>
        </is>
      </c>
      <c r="C37" s="11" t="n">
        <v>100</v>
      </c>
      <c r="D37" s="12" t="n">
        <v>10</v>
      </c>
      <c r="E37" s="13" t="inlineStr">
        <is>
          <t>View source</t>
        </is>
      </c>
      <c r="F37" s="11" t="n">
        <v>1000</v>
      </c>
      <c r="G37" s="12" t="n">
        <v>60</v>
      </c>
      <c r="H37" s="13" t="inlineStr">
        <is>
          <t>View source</t>
        </is>
      </c>
      <c r="I37" s="11" t="n">
        <v>10000</v>
      </c>
      <c r="J37" s="12" t="n">
        <v>350</v>
      </c>
      <c r="K37" s="13" t="inlineStr">
        <is>
          <t>View source</t>
        </is>
      </c>
      <c r="L37" s="14">
        <f>IFERROR(D37/C37,0)</f>
        <v/>
      </c>
      <c r="M37" s="14">
        <f>IFERROR(G37/F37,0)</f>
        <v/>
      </c>
      <c r="N37" s="14">
        <f>IFERROR(J37/I37,0)</f>
        <v/>
      </c>
      <c r="O37" s="15">
        <f>IF($C$2="Tier 1 — Amazon (now)",L37,IF($C$2="Tier 2 — Mid wholesale",M37,N37))</f>
        <v/>
      </c>
      <c r="P37" s="16" t="inlineStr">
        <is>
          <t>Heat-sealable cello bags or twist wrappers.</t>
        </is>
      </c>
    </row>
    <row r="38">
      <c r="A38" s="9" t="inlineStr">
        <is>
          <t>Sticker / label per pop</t>
        </is>
      </c>
      <c r="B38" s="10" t="inlineStr">
        <is>
          <t>ea</t>
        </is>
      </c>
      <c r="C38" s="11" t="n">
        <v>100</v>
      </c>
      <c r="D38" s="12" t="n">
        <v>8</v>
      </c>
      <c r="E38" s="13" t="inlineStr">
        <is>
          <t>View source</t>
        </is>
      </c>
      <c r="F38" s="11" t="n">
        <v>1000</v>
      </c>
      <c r="G38" s="12" t="n">
        <v>50</v>
      </c>
      <c r="H38" s="13" t="inlineStr">
        <is>
          <t>View source</t>
        </is>
      </c>
      <c r="I38" s="11" t="n">
        <v>10000</v>
      </c>
      <c r="J38" s="12" t="n">
        <v>300</v>
      </c>
      <c r="K38" s="13" t="inlineStr">
        <is>
          <t>View source</t>
        </is>
      </c>
      <c r="L38" s="14">
        <f>IFERROR(D38/C38,0)</f>
        <v/>
      </c>
      <c r="M38" s="14">
        <f>IFERROR(G38/F38,0)</f>
        <v/>
      </c>
      <c r="N38" s="14">
        <f>IFERROR(J38/I38,0)</f>
        <v/>
      </c>
      <c r="O38" s="15">
        <f>IF($C$2="Tier 1 — Amazon (now)",L38,IF($C$2="Tier 2 — Mid wholesale",M38,N38))</f>
        <v/>
      </c>
      <c r="P38" s="16" t="inlineStr">
        <is>
          <t>Branding sticker. StickerMule mid-tier; Avery industrial.</t>
        </is>
      </c>
    </row>
    <row r="39">
      <c r="A39" s="9" t="inlineStr">
        <is>
          <t>Silicone mold (amortized cavity-uses)</t>
        </is>
      </c>
      <c r="B39" s="10" t="inlineStr">
        <is>
          <t>ea</t>
        </is>
      </c>
      <c r="C39" s="11" t="n">
        <v>4000</v>
      </c>
      <c r="D39" s="12" t="n">
        <v>15</v>
      </c>
      <c r="E39" s="13" t="inlineStr">
        <is>
          <t>View source</t>
        </is>
      </c>
      <c r="F39" s="11" t="n">
        <v>20000</v>
      </c>
      <c r="G39" s="12" t="n">
        <v>60</v>
      </c>
      <c r="H39" s="13" t="inlineStr">
        <is>
          <t>View source</t>
        </is>
      </c>
      <c r="I39" s="11" t="n">
        <v>80000</v>
      </c>
      <c r="J39" s="12" t="n">
        <v>200</v>
      </c>
      <c r="K39" s="13" t="inlineStr">
        <is>
          <t>View source</t>
        </is>
      </c>
      <c r="L39" s="14">
        <f>IFERROR(D39/C39,0)</f>
        <v/>
      </c>
      <c r="M39" s="14">
        <f>IFERROR(G39/F39,0)</f>
        <v/>
      </c>
      <c r="N39" s="14">
        <f>IFERROR(J39/I39,0)</f>
        <v/>
      </c>
      <c r="O39" s="15">
        <f>IF($C$2="Tier 1 — Amazon (now)",L39,IF($C$2="Tier 2 — Mid wholesale",M39,N39))</f>
        <v/>
      </c>
      <c r="P39" s="16" t="inlineStr">
        <is>
          <t>Pkg size = total cavity-uses over mold lifetime (20 cavities × ~200 cycles). T1 = single mold $15, T2 = 5 molds, T3 = 20 molds.</t>
        </is>
      </c>
    </row>
    <row r="40">
      <c r="A40" s="9" t="inlineStr">
        <is>
          <t>Neutral cooking spray (release agent)</t>
        </is>
      </c>
      <c r="B40" s="10" t="inlineStr">
        <is>
          <t>ml</t>
        </is>
      </c>
      <c r="C40" s="11" t="n">
        <v>170</v>
      </c>
      <c r="D40" s="12" t="n">
        <v>5</v>
      </c>
      <c r="E40" s="13" t="inlineStr">
        <is>
          <t>View source</t>
        </is>
      </c>
      <c r="F40" s="11" t="n">
        <v>600</v>
      </c>
      <c r="G40" s="12" t="n">
        <v>12</v>
      </c>
      <c r="H40" s="13" t="inlineStr">
        <is>
          <t>View source</t>
        </is>
      </c>
      <c r="I40" s="11" t="n">
        <v>3785</v>
      </c>
      <c r="J40" s="12" t="n">
        <v>30</v>
      </c>
      <c r="K40" s="13" t="inlineStr">
        <is>
          <t>View source</t>
        </is>
      </c>
      <c r="L40" s="14">
        <f>IFERROR(D40/C40,0)</f>
        <v/>
      </c>
      <c r="M40" s="14">
        <f>IFERROR(G40/F40,0)</f>
        <v/>
      </c>
      <c r="N40" s="14">
        <f>IFERROR(J40/I40,0)</f>
        <v/>
      </c>
      <c r="O40" s="15">
        <f>IF($C$2="Tier 1 — Amazon (now)",L40,IF($C$2="Tier 2 — Mid wholesale",M40,N40))</f>
        <v/>
      </c>
      <c r="P40" s="16" t="inlineStr">
        <is>
          <t>Tiny per-pop usage. Mostly negligible cost.</t>
        </is>
      </c>
    </row>
  </sheetData>
  <mergeCells count="6">
    <mergeCell ref="A2:B2"/>
    <mergeCell ref="A1:P1"/>
    <mergeCell ref="C4:E4"/>
    <mergeCell ref="F4:H4"/>
    <mergeCell ref="I4:K4"/>
    <mergeCell ref="L4:N4"/>
  </mergeCells>
  <dataValidations count="1">
    <dataValidation sqref="C2" showDropDown="0" showInputMessage="0" showErrorMessage="0" allowBlank="0" type="list">
      <formula1>"Tier 1 — Amazon (now),Tier 2 — Mid wholesale,Tier 3 — Large bulk"</formula1>
    </dataValidation>
  </dataValidations>
  <hyperlinks>
    <hyperlink xmlns:r="http://schemas.openxmlformats.org/officeDocument/2006/relationships" ref="E6" r:id="rId1"/>
    <hyperlink xmlns:r="http://schemas.openxmlformats.org/officeDocument/2006/relationships" ref="H6" r:id="rId2"/>
    <hyperlink xmlns:r="http://schemas.openxmlformats.org/officeDocument/2006/relationships" ref="K6" r:id="rId3"/>
    <hyperlink xmlns:r="http://schemas.openxmlformats.org/officeDocument/2006/relationships" ref="E8" r:id="rId4"/>
    <hyperlink xmlns:r="http://schemas.openxmlformats.org/officeDocument/2006/relationships" ref="H8" r:id="rId5"/>
    <hyperlink xmlns:r="http://schemas.openxmlformats.org/officeDocument/2006/relationships" ref="K8" r:id="rId6"/>
    <hyperlink xmlns:r="http://schemas.openxmlformats.org/officeDocument/2006/relationships" ref="E9" r:id="rId7"/>
    <hyperlink xmlns:r="http://schemas.openxmlformats.org/officeDocument/2006/relationships" ref="H9" r:id="rId8"/>
    <hyperlink xmlns:r="http://schemas.openxmlformats.org/officeDocument/2006/relationships" ref="K9" r:id="rId9"/>
    <hyperlink xmlns:r="http://schemas.openxmlformats.org/officeDocument/2006/relationships" ref="E10" r:id="rId10"/>
    <hyperlink xmlns:r="http://schemas.openxmlformats.org/officeDocument/2006/relationships" ref="H10" r:id="rId11"/>
    <hyperlink xmlns:r="http://schemas.openxmlformats.org/officeDocument/2006/relationships" ref="K10" r:id="rId12"/>
    <hyperlink xmlns:r="http://schemas.openxmlformats.org/officeDocument/2006/relationships" ref="E11" r:id="rId13"/>
    <hyperlink xmlns:r="http://schemas.openxmlformats.org/officeDocument/2006/relationships" ref="H11" r:id="rId14"/>
    <hyperlink xmlns:r="http://schemas.openxmlformats.org/officeDocument/2006/relationships" ref="K11" r:id="rId15"/>
    <hyperlink xmlns:r="http://schemas.openxmlformats.org/officeDocument/2006/relationships" ref="E12" r:id="rId16"/>
    <hyperlink xmlns:r="http://schemas.openxmlformats.org/officeDocument/2006/relationships" ref="H12" r:id="rId17"/>
    <hyperlink xmlns:r="http://schemas.openxmlformats.org/officeDocument/2006/relationships" ref="K12" r:id="rId18"/>
    <hyperlink xmlns:r="http://schemas.openxmlformats.org/officeDocument/2006/relationships" ref="E13" r:id="rId19"/>
    <hyperlink xmlns:r="http://schemas.openxmlformats.org/officeDocument/2006/relationships" ref="H13" r:id="rId20"/>
    <hyperlink xmlns:r="http://schemas.openxmlformats.org/officeDocument/2006/relationships" ref="K13" r:id="rId21"/>
    <hyperlink xmlns:r="http://schemas.openxmlformats.org/officeDocument/2006/relationships" ref="E14" r:id="rId22"/>
    <hyperlink xmlns:r="http://schemas.openxmlformats.org/officeDocument/2006/relationships" ref="H14" r:id="rId23"/>
    <hyperlink xmlns:r="http://schemas.openxmlformats.org/officeDocument/2006/relationships" ref="K14" r:id="rId24"/>
    <hyperlink xmlns:r="http://schemas.openxmlformats.org/officeDocument/2006/relationships" ref="E15" r:id="rId25"/>
    <hyperlink xmlns:r="http://schemas.openxmlformats.org/officeDocument/2006/relationships" ref="H15" r:id="rId26"/>
    <hyperlink xmlns:r="http://schemas.openxmlformats.org/officeDocument/2006/relationships" ref="K15" r:id="rId27"/>
    <hyperlink xmlns:r="http://schemas.openxmlformats.org/officeDocument/2006/relationships" ref="E16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E17" r:id="rId31"/>
    <hyperlink xmlns:r="http://schemas.openxmlformats.org/officeDocument/2006/relationships" ref="H17" r:id="rId32"/>
    <hyperlink xmlns:r="http://schemas.openxmlformats.org/officeDocument/2006/relationships" ref="K17" r:id="rId33"/>
    <hyperlink xmlns:r="http://schemas.openxmlformats.org/officeDocument/2006/relationships" ref="E18" r:id="rId34"/>
    <hyperlink xmlns:r="http://schemas.openxmlformats.org/officeDocument/2006/relationships" ref="H18" r:id="rId35"/>
    <hyperlink xmlns:r="http://schemas.openxmlformats.org/officeDocument/2006/relationships" ref="K18" r:id="rId36"/>
    <hyperlink xmlns:r="http://schemas.openxmlformats.org/officeDocument/2006/relationships" ref="E19" r:id="rId37"/>
    <hyperlink xmlns:r="http://schemas.openxmlformats.org/officeDocument/2006/relationships" ref="H19" r:id="rId38"/>
    <hyperlink xmlns:r="http://schemas.openxmlformats.org/officeDocument/2006/relationships" ref="K19" r:id="rId39"/>
    <hyperlink xmlns:r="http://schemas.openxmlformats.org/officeDocument/2006/relationships" ref="E20" r:id="rId40"/>
    <hyperlink xmlns:r="http://schemas.openxmlformats.org/officeDocument/2006/relationships" ref="H20" r:id="rId41"/>
    <hyperlink xmlns:r="http://schemas.openxmlformats.org/officeDocument/2006/relationships" ref="K20" r:id="rId42"/>
    <hyperlink xmlns:r="http://schemas.openxmlformats.org/officeDocument/2006/relationships" ref="E21" r:id="rId43"/>
    <hyperlink xmlns:r="http://schemas.openxmlformats.org/officeDocument/2006/relationships" ref="H21" r:id="rId44"/>
    <hyperlink xmlns:r="http://schemas.openxmlformats.org/officeDocument/2006/relationships" ref="K21" r:id="rId45"/>
    <hyperlink xmlns:r="http://schemas.openxmlformats.org/officeDocument/2006/relationships" ref="E22" r:id="rId46"/>
    <hyperlink xmlns:r="http://schemas.openxmlformats.org/officeDocument/2006/relationships" ref="H22" r:id="rId47"/>
    <hyperlink xmlns:r="http://schemas.openxmlformats.org/officeDocument/2006/relationships" ref="K22" r:id="rId48"/>
    <hyperlink xmlns:r="http://schemas.openxmlformats.org/officeDocument/2006/relationships" ref="E23" r:id="rId49"/>
    <hyperlink xmlns:r="http://schemas.openxmlformats.org/officeDocument/2006/relationships" ref="H23" r:id="rId50"/>
    <hyperlink xmlns:r="http://schemas.openxmlformats.org/officeDocument/2006/relationships" ref="K23" r:id="rId51"/>
    <hyperlink xmlns:r="http://schemas.openxmlformats.org/officeDocument/2006/relationships" ref="E24" r:id="rId52"/>
    <hyperlink xmlns:r="http://schemas.openxmlformats.org/officeDocument/2006/relationships" ref="H24" r:id="rId53"/>
    <hyperlink xmlns:r="http://schemas.openxmlformats.org/officeDocument/2006/relationships" ref="K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K25" r:id="rId57"/>
    <hyperlink xmlns:r="http://schemas.openxmlformats.org/officeDocument/2006/relationships" ref="E26" r:id="rId58"/>
    <hyperlink xmlns:r="http://schemas.openxmlformats.org/officeDocument/2006/relationships" ref="H26" r:id="rId59"/>
    <hyperlink xmlns:r="http://schemas.openxmlformats.org/officeDocument/2006/relationships" ref="K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K27" r:id="rId63"/>
    <hyperlink xmlns:r="http://schemas.openxmlformats.org/officeDocument/2006/relationships" ref="E28" r:id="rId64"/>
    <hyperlink xmlns:r="http://schemas.openxmlformats.org/officeDocument/2006/relationships" ref="H28" r:id="rId65"/>
    <hyperlink xmlns:r="http://schemas.openxmlformats.org/officeDocument/2006/relationships" ref="K28" r:id="rId66"/>
    <hyperlink xmlns:r="http://schemas.openxmlformats.org/officeDocument/2006/relationships" ref="E29" r:id="rId67"/>
    <hyperlink xmlns:r="http://schemas.openxmlformats.org/officeDocument/2006/relationships" ref="H29" r:id="rId68"/>
    <hyperlink xmlns:r="http://schemas.openxmlformats.org/officeDocument/2006/relationships" ref="K29" r:id="rId69"/>
    <hyperlink xmlns:r="http://schemas.openxmlformats.org/officeDocument/2006/relationships" ref="E30" r:id="rId70"/>
    <hyperlink xmlns:r="http://schemas.openxmlformats.org/officeDocument/2006/relationships" ref="H30" r:id="rId71"/>
    <hyperlink xmlns:r="http://schemas.openxmlformats.org/officeDocument/2006/relationships" ref="K30" r:id="rId72"/>
    <hyperlink xmlns:r="http://schemas.openxmlformats.org/officeDocument/2006/relationships" ref="E31" r:id="rId73"/>
    <hyperlink xmlns:r="http://schemas.openxmlformats.org/officeDocument/2006/relationships" ref="H31" r:id="rId74"/>
    <hyperlink xmlns:r="http://schemas.openxmlformats.org/officeDocument/2006/relationships" ref="K31" r:id="rId75"/>
    <hyperlink xmlns:r="http://schemas.openxmlformats.org/officeDocument/2006/relationships" ref="E32" r:id="rId76"/>
    <hyperlink xmlns:r="http://schemas.openxmlformats.org/officeDocument/2006/relationships" ref="H32" r:id="rId77"/>
    <hyperlink xmlns:r="http://schemas.openxmlformats.org/officeDocument/2006/relationships" ref="K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K33" r:id="rId81"/>
    <hyperlink xmlns:r="http://schemas.openxmlformats.org/officeDocument/2006/relationships" ref="E34" r:id="rId82"/>
    <hyperlink xmlns:r="http://schemas.openxmlformats.org/officeDocument/2006/relationships" ref="H34" r:id="rId83"/>
    <hyperlink xmlns:r="http://schemas.openxmlformats.org/officeDocument/2006/relationships" ref="K34" r:id="rId84"/>
    <hyperlink xmlns:r="http://schemas.openxmlformats.org/officeDocument/2006/relationships" ref="E35" r:id="rId85"/>
    <hyperlink xmlns:r="http://schemas.openxmlformats.org/officeDocument/2006/relationships" ref="H35" r:id="rId86"/>
    <hyperlink xmlns:r="http://schemas.openxmlformats.org/officeDocument/2006/relationships" ref="K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K36" r:id="rId90"/>
    <hyperlink xmlns:r="http://schemas.openxmlformats.org/officeDocument/2006/relationships" ref="E37" r:id="rId91"/>
    <hyperlink xmlns:r="http://schemas.openxmlformats.org/officeDocument/2006/relationships" ref="H37" r:id="rId92"/>
    <hyperlink xmlns:r="http://schemas.openxmlformats.org/officeDocument/2006/relationships" ref="K37" r:id="rId93"/>
    <hyperlink xmlns:r="http://schemas.openxmlformats.org/officeDocument/2006/relationships" ref="E38" r:id="rId94"/>
    <hyperlink xmlns:r="http://schemas.openxmlformats.org/officeDocument/2006/relationships" ref="H38" r:id="rId95"/>
    <hyperlink xmlns:r="http://schemas.openxmlformats.org/officeDocument/2006/relationships" ref="K38" r:id="rId96"/>
    <hyperlink xmlns:r="http://schemas.openxmlformats.org/officeDocument/2006/relationships" ref="E39" r:id="rId97"/>
    <hyperlink xmlns:r="http://schemas.openxmlformats.org/officeDocument/2006/relationships" ref="H39" r:id="rId98"/>
    <hyperlink xmlns:r="http://schemas.openxmlformats.org/officeDocument/2006/relationships" ref="K39" r:id="rId99"/>
    <hyperlink xmlns:r="http://schemas.openxmlformats.org/officeDocument/2006/relationships" ref="E40" r:id="rId100"/>
    <hyperlink xmlns:r="http://schemas.openxmlformats.org/officeDocument/2006/relationships" ref="H40" r:id="rId101"/>
    <hyperlink xmlns:r="http://schemas.openxmlformats.org/officeDocument/2006/relationships" ref="K40" r:id="rId1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C34A"/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 xml:space="preserve">  RECIPES — Per-Pop Amounts &amp; Cost (live against active tier)</t>
        </is>
      </c>
    </row>
    <row r="2">
      <c r="A2" s="4" t="inlineStr">
        <is>
          <t>Active tier:</t>
        </is>
      </c>
      <c r="B2" s="17">
        <f>Ingredients!C2</f>
        <v/>
      </c>
    </row>
    <row r="4">
      <c r="A4" s="6" t="inlineStr">
        <is>
          <t>Ingredient</t>
        </is>
      </c>
      <c r="B4" s="6" t="inlineStr">
        <is>
          <t>Unit</t>
        </is>
      </c>
      <c r="C4" s="6" t="inlineStr">
        <is>
          <t>Active $/unit</t>
        </is>
      </c>
      <c r="D4" s="6" t="inlineStr">
        <is>
          <t>Amount / pop</t>
        </is>
      </c>
      <c r="E4" s="7" t="n"/>
      <c r="F4" s="7" t="n"/>
      <c r="G4" s="7" t="n"/>
      <c r="H4" s="6" t="inlineStr">
        <is>
          <t>Cost / pop</t>
        </is>
      </c>
      <c r="I4" s="7" t="n"/>
      <c r="J4" s="7" t="n"/>
      <c r="K4" s="7" t="n"/>
    </row>
    <row r="5">
      <c r="A5" s="18" t="inlineStr"/>
      <c r="B5" s="18" t="inlineStr"/>
      <c r="C5" s="18" t="inlineStr"/>
      <c r="D5" s="19" t="inlineStr">
        <is>
          <t>Kiwi Pop</t>
        </is>
      </c>
      <c r="E5" s="19" t="inlineStr">
        <is>
          <t>Lemon Ginger</t>
        </is>
      </c>
      <c r="F5" s="19" t="inlineStr">
        <is>
          <t>Caramel Apple</t>
        </is>
      </c>
      <c r="G5" s="19" t="inlineStr">
        <is>
          <t>Mint</t>
        </is>
      </c>
      <c r="H5" s="19" t="inlineStr">
        <is>
          <t>Kiwi Pop</t>
        </is>
      </c>
      <c r="I5" s="19" t="inlineStr">
        <is>
          <t>Lemon Ginger</t>
        </is>
      </c>
      <c r="J5" s="19" t="inlineStr">
        <is>
          <t>Caramel Apple</t>
        </is>
      </c>
      <c r="K5" s="19" t="inlineStr">
        <is>
          <t>Mint</t>
        </is>
      </c>
    </row>
    <row r="6">
      <c r="A6" s="9" t="inlineStr">
        <is>
          <t>Isomalt</t>
        </is>
      </c>
      <c r="B6" s="10" t="inlineStr">
        <is>
          <t>g</t>
        </is>
      </c>
      <c r="C6" s="20">
        <f>Ingredients!O6</f>
        <v/>
      </c>
      <c r="D6" s="21" t="n">
        <v>15</v>
      </c>
      <c r="E6" s="21" t="n">
        <v>15</v>
      </c>
      <c r="F6" s="21" t="n">
        <v>15</v>
      </c>
      <c r="G6" s="21" t="n">
        <v>15</v>
      </c>
      <c r="H6" s="22">
        <f>D6*$C$6</f>
        <v/>
      </c>
      <c r="I6" s="22">
        <f>E6*$C$6</f>
        <v/>
      </c>
      <c r="J6" s="22">
        <f>F6*$C$6</f>
        <v/>
      </c>
      <c r="K6" s="22">
        <f>G6*$C$6</f>
        <v/>
      </c>
    </row>
    <row r="7">
      <c r="A7" s="9" t="inlineStr">
        <is>
          <t>Water (filtered)</t>
        </is>
      </c>
      <c r="B7" s="10" t="inlineStr">
        <is>
          <t>ml</t>
        </is>
      </c>
      <c r="C7" s="20">
        <f>Ingredients!O7</f>
        <v/>
      </c>
      <c r="D7" s="21" t="n">
        <v>4</v>
      </c>
      <c r="E7" s="21" t="n">
        <v>4</v>
      </c>
      <c r="F7" s="21" t="n">
        <v>4</v>
      </c>
      <c r="G7" s="21" t="n">
        <v>4</v>
      </c>
      <c r="H7" s="22">
        <f>D7*$C$7</f>
        <v/>
      </c>
      <c r="I7" s="22">
        <f>E7*$C$7</f>
        <v/>
      </c>
      <c r="J7" s="22">
        <f>F7*$C$7</f>
        <v/>
      </c>
      <c r="K7" s="22">
        <f>G7*$C$7</f>
        <v/>
      </c>
    </row>
    <row r="8">
      <c r="A8" s="9" t="inlineStr">
        <is>
          <t>Monk fruit extract</t>
        </is>
      </c>
      <c r="B8" s="10" t="inlineStr">
        <is>
          <t>g</t>
        </is>
      </c>
      <c r="C8" s="20">
        <f>Ingredients!O8</f>
        <v/>
      </c>
      <c r="D8" s="21" t="n">
        <v>0.06</v>
      </c>
      <c r="E8" s="21" t="n">
        <v>0.06</v>
      </c>
      <c r="F8" s="21" t="n">
        <v>0.06</v>
      </c>
      <c r="G8" s="21" t="n">
        <v>0.06</v>
      </c>
      <c r="H8" s="22">
        <f>D8*$C$8</f>
        <v/>
      </c>
      <c r="I8" s="22">
        <f>E8*$C$8</f>
        <v/>
      </c>
      <c r="J8" s="22">
        <f>F8*$C$8</f>
        <v/>
      </c>
      <c r="K8" s="22">
        <f>G8*$C$8</f>
        <v/>
      </c>
    </row>
    <row r="9">
      <c r="A9" s="9" t="inlineStr">
        <is>
          <t>Xylitol</t>
        </is>
      </c>
      <c r="B9" s="10" t="inlineStr">
        <is>
          <t>g</t>
        </is>
      </c>
      <c r="C9" s="20">
        <f>Ingredients!O9</f>
        <v/>
      </c>
      <c r="D9" s="21" t="n">
        <v>1.2</v>
      </c>
      <c r="E9" s="21" t="n">
        <v>1.2</v>
      </c>
      <c r="F9" s="21" t="n">
        <v>1.2</v>
      </c>
      <c r="G9" s="21" t="n">
        <v>1.2</v>
      </c>
      <c r="H9" s="22">
        <f>D9*$C$9</f>
        <v/>
      </c>
      <c r="I9" s="22">
        <f>E9*$C$9</f>
        <v/>
      </c>
      <c r="J9" s="22">
        <f>F9*$C$9</f>
        <v/>
      </c>
      <c r="K9" s="22">
        <f>G9*$C$9</f>
        <v/>
      </c>
    </row>
    <row r="10">
      <c r="A10" s="9" t="inlineStr">
        <is>
          <t>Coconut oil (refined)</t>
        </is>
      </c>
      <c r="B10" s="10" t="inlineStr">
        <is>
          <t>g</t>
        </is>
      </c>
      <c r="C10" s="20">
        <f>Ingredients!O10</f>
        <v/>
      </c>
      <c r="D10" s="21" t="n">
        <v>0.2</v>
      </c>
      <c r="E10" s="21" t="n">
        <v>0.2</v>
      </c>
      <c r="F10" s="21" t="n">
        <v>0.2</v>
      </c>
      <c r="G10" s="21" t="n">
        <v>0.2</v>
      </c>
      <c r="H10" s="22">
        <f>D10*$C$10</f>
        <v/>
      </c>
      <c r="I10" s="22">
        <f>E10*$C$10</f>
        <v/>
      </c>
      <c r="J10" s="22">
        <f>F10*$C$10</f>
        <v/>
      </c>
      <c r="K10" s="22">
        <f>G10*$C$10</f>
        <v/>
      </c>
    </row>
    <row r="11">
      <c r="A11" s="9" t="inlineStr">
        <is>
          <t>Jambu oleoresin (8-10% spilanthol)</t>
        </is>
      </c>
      <c r="B11" s="10" t="inlineStr">
        <is>
          <t>g</t>
        </is>
      </c>
      <c r="C11" s="20">
        <f>Ingredients!O11</f>
        <v/>
      </c>
      <c r="D11" s="21" t="n">
        <v>0.05</v>
      </c>
      <c r="E11" s="21" t="n">
        <v>0.05</v>
      </c>
      <c r="F11" s="21" t="n">
        <v>0.05</v>
      </c>
      <c r="G11" s="21" t="n">
        <v>0.05</v>
      </c>
      <c r="H11" s="22">
        <f>D11*$C$11</f>
        <v/>
      </c>
      <c r="I11" s="22">
        <f>E11*$C$11</f>
        <v/>
      </c>
      <c r="J11" s="22">
        <f>F11*$C$11</f>
        <v/>
      </c>
      <c r="K11" s="22">
        <f>G11*$C$11</f>
        <v/>
      </c>
    </row>
    <row r="12">
      <c r="A12" s="9" t="inlineStr">
        <is>
          <t>Theobromine powder</t>
        </is>
      </c>
      <c r="B12" s="10" t="inlineStr">
        <is>
          <t>g</t>
        </is>
      </c>
      <c r="C12" s="20">
        <f>Ingredients!O12</f>
        <v/>
      </c>
      <c r="D12" s="21" t="n">
        <v>0.175</v>
      </c>
      <c r="E12" s="21" t="n">
        <v>0.175</v>
      </c>
      <c r="F12" s="21" t="n">
        <v>0.175</v>
      </c>
      <c r="G12" s="21" t="n">
        <v>0.175</v>
      </c>
      <c r="H12" s="22">
        <f>D12*$C$12</f>
        <v/>
      </c>
      <c r="I12" s="22">
        <f>E12*$C$12</f>
        <v/>
      </c>
      <c r="J12" s="22">
        <f>F12*$C$12</f>
        <v/>
      </c>
      <c r="K12" s="22">
        <f>G12*$C$12</f>
        <v/>
      </c>
    </row>
    <row r="13">
      <c r="A13" s="9" t="inlineStr">
        <is>
          <t>Magnesium glycinate powder</t>
        </is>
      </c>
      <c r="B13" s="10" t="inlineStr">
        <is>
          <t>g</t>
        </is>
      </c>
      <c r="C13" s="20">
        <f>Ingredients!O13</f>
        <v/>
      </c>
      <c r="D13" s="21" t="n">
        <v>0.3</v>
      </c>
      <c r="E13" s="21" t="n">
        <v>0.3</v>
      </c>
      <c r="F13" s="21" t="n">
        <v>0.3</v>
      </c>
      <c r="G13" s="21" t="n">
        <v>0.3</v>
      </c>
      <c r="H13" s="22">
        <f>D13*$C$13</f>
        <v/>
      </c>
      <c r="I13" s="22">
        <f>E13*$C$13</f>
        <v/>
      </c>
      <c r="J13" s="22">
        <f>F13*$C$13</f>
        <v/>
      </c>
      <c r="K13" s="22">
        <f>G13*$C$13</f>
        <v/>
      </c>
    </row>
    <row r="14">
      <c r="A14" s="9" t="inlineStr">
        <is>
          <t>Taurine powder</t>
        </is>
      </c>
      <c r="B14" s="10" t="inlineStr">
        <is>
          <t>g</t>
        </is>
      </c>
      <c r="C14" s="20">
        <f>Ingredients!O14</f>
        <v/>
      </c>
      <c r="D14" s="21" t="n">
        <v>0.25</v>
      </c>
      <c r="E14" s="21" t="n">
        <v>0.25</v>
      </c>
      <c r="F14" s="21" t="n">
        <v>0.25</v>
      </c>
      <c r="G14" s="21" t="n">
        <v>0.25</v>
      </c>
      <c r="H14" s="22">
        <f>D14*$C$14</f>
        <v/>
      </c>
      <c r="I14" s="22">
        <f>E14*$C$14</f>
        <v/>
      </c>
      <c r="J14" s="22">
        <f>F14*$C$14</f>
        <v/>
      </c>
      <c r="K14" s="22">
        <f>G14*$C$14</f>
        <v/>
      </c>
    </row>
    <row r="15">
      <c r="A15" s="9" t="inlineStr">
        <is>
          <t>B12 (methylcobalamin) powder</t>
        </is>
      </c>
      <c r="B15" s="10" t="inlineStr">
        <is>
          <t>g</t>
        </is>
      </c>
      <c r="C15" s="20">
        <f>Ingredients!O15</f>
        <v/>
      </c>
      <c r="D15" s="21" t="n">
        <v>0.001</v>
      </c>
      <c r="E15" s="21" t="n">
        <v>0.001</v>
      </c>
      <c r="F15" s="21" t="n">
        <v>0.001</v>
      </c>
      <c r="G15" s="21" t="n">
        <v>0.001</v>
      </c>
      <c r="H15" s="22">
        <f>D15*$C$15</f>
        <v/>
      </c>
      <c r="I15" s="22">
        <f>E15*$C$15</f>
        <v/>
      </c>
      <c r="J15" s="22">
        <f>F15*$C$15</f>
        <v/>
      </c>
      <c r="K15" s="22">
        <f>G15*$C$15</f>
        <v/>
      </c>
    </row>
    <row r="16">
      <c r="A16" s="9" t="inlineStr">
        <is>
          <t>Sacred Eats Keto Recharge electrolyte blend</t>
        </is>
      </c>
      <c r="B16" s="10" t="inlineStr">
        <is>
          <t>g</t>
        </is>
      </c>
      <c r="C16" s="20">
        <f>Ingredients!O16</f>
        <v/>
      </c>
      <c r="D16" s="21" t="n">
        <v>0.25</v>
      </c>
      <c r="E16" s="21" t="n">
        <v>0.25</v>
      </c>
      <c r="F16" s="21" t="n">
        <v>0.25</v>
      </c>
      <c r="G16" s="21" t="n">
        <v>0.25</v>
      </c>
      <c r="H16" s="22">
        <f>D16*$C$16</f>
        <v/>
      </c>
      <c r="I16" s="22">
        <f>E16*$C$16</f>
        <v/>
      </c>
      <c r="J16" s="22">
        <f>F16*$C$16</f>
        <v/>
      </c>
      <c r="K16" s="22">
        <f>G16*$C$16</f>
        <v/>
      </c>
    </row>
    <row r="17">
      <c r="A17" s="9" t="inlineStr">
        <is>
          <t>Ginseng extract powder</t>
        </is>
      </c>
      <c r="B17" s="10" t="inlineStr">
        <is>
          <t>g</t>
        </is>
      </c>
      <c r="C17" s="20">
        <f>Ingredients!O17</f>
        <v/>
      </c>
      <c r="D17" s="21" t="n">
        <v>0.15</v>
      </c>
      <c r="E17" s="21" t="n">
        <v>0</v>
      </c>
      <c r="F17" s="21" t="n">
        <v>0</v>
      </c>
      <c r="G17" s="21" t="n">
        <v>0</v>
      </c>
      <c r="H17" s="22">
        <f>D17*$C$17</f>
        <v/>
      </c>
      <c r="I17" s="22">
        <f>E17*$C$17</f>
        <v/>
      </c>
      <c r="J17" s="22">
        <f>F17*$C$17</f>
        <v/>
      </c>
      <c r="K17" s="22">
        <f>G17*$C$17</f>
        <v/>
      </c>
    </row>
    <row r="18">
      <c r="A18" s="9" t="inlineStr">
        <is>
          <t>Spirulina powder (organic)</t>
        </is>
      </c>
      <c r="B18" s="10" t="inlineStr">
        <is>
          <t>g</t>
        </is>
      </c>
      <c r="C18" s="20">
        <f>Ingredients!O18</f>
        <v/>
      </c>
      <c r="D18" s="21" t="n">
        <v>0.5</v>
      </c>
      <c r="E18" s="21" t="n">
        <v>0</v>
      </c>
      <c r="F18" s="21" t="n">
        <v>0</v>
      </c>
      <c r="G18" s="21" t="n">
        <v>0</v>
      </c>
      <c r="H18" s="22">
        <f>D18*$C$18</f>
        <v/>
      </c>
      <c r="I18" s="22">
        <f>E18*$C$18</f>
        <v/>
      </c>
      <c r="J18" s="22">
        <f>F18*$C$18</f>
        <v/>
      </c>
      <c r="K18" s="22">
        <f>G18*$C$18</f>
        <v/>
      </c>
    </row>
    <row r="19">
      <c r="A19" s="9" t="inlineStr">
        <is>
          <t>Ashwagandha root extract powder</t>
        </is>
      </c>
      <c r="B19" s="10" t="inlineStr">
        <is>
          <t>g</t>
        </is>
      </c>
      <c r="C19" s="20">
        <f>Ingredients!O19</f>
        <v/>
      </c>
      <c r="D19" s="21" t="n">
        <v>0</v>
      </c>
      <c r="E19" s="21" t="n">
        <v>0.15</v>
      </c>
      <c r="F19" s="21" t="n">
        <v>0</v>
      </c>
      <c r="G19" s="21" t="n">
        <v>0</v>
      </c>
      <c r="H19" s="22">
        <f>D19*$C$19</f>
        <v/>
      </c>
      <c r="I19" s="22">
        <f>E19*$C$19</f>
        <v/>
      </c>
      <c r="J19" s="22">
        <f>F19*$C$19</f>
        <v/>
      </c>
      <c r="K19" s="22">
        <f>G19*$C$19</f>
        <v/>
      </c>
    </row>
    <row r="20">
      <c r="A20" s="9" t="inlineStr">
        <is>
          <t>Maca powder (organic)</t>
        </is>
      </c>
      <c r="B20" s="10" t="inlineStr">
        <is>
          <t>g</t>
        </is>
      </c>
      <c r="C20" s="20">
        <f>Ingredients!O20</f>
        <v/>
      </c>
      <c r="D20" s="21" t="n">
        <v>0</v>
      </c>
      <c r="E20" s="21" t="n">
        <v>0</v>
      </c>
      <c r="F20" s="21" t="n">
        <v>0.15</v>
      </c>
      <c r="G20" s="21" t="n">
        <v>0</v>
      </c>
      <c r="H20" s="22">
        <f>D20*$C$20</f>
        <v/>
      </c>
      <c r="I20" s="22">
        <f>E20*$C$20</f>
        <v/>
      </c>
      <c r="J20" s="22">
        <f>F20*$C$20</f>
        <v/>
      </c>
      <c r="K20" s="22">
        <f>G20*$C$20</f>
        <v/>
      </c>
    </row>
    <row r="21">
      <c r="A21" s="9" t="inlineStr">
        <is>
          <t>L-theanine powder</t>
        </is>
      </c>
      <c r="B21" s="10" t="inlineStr">
        <is>
          <t>g</t>
        </is>
      </c>
      <c r="C21" s="20">
        <f>Ingredients!O21</f>
        <v/>
      </c>
      <c r="D21" s="21" t="n">
        <v>0</v>
      </c>
      <c r="E21" s="21" t="n">
        <v>0</v>
      </c>
      <c r="F21" s="21" t="n">
        <v>0</v>
      </c>
      <c r="G21" s="21" t="n">
        <v>0.2</v>
      </c>
      <c r="H21" s="22">
        <f>D21*$C$21</f>
        <v/>
      </c>
      <c r="I21" s="22">
        <f>E21*$C$21</f>
        <v/>
      </c>
      <c r="J21" s="22">
        <f>F21*$C$21</f>
        <v/>
      </c>
      <c r="K21" s="22">
        <f>G21*$C$21</f>
        <v/>
      </c>
    </row>
    <row r="22">
      <c r="A22" s="9" t="inlineStr">
        <is>
          <t>Chamomile extract powder</t>
        </is>
      </c>
      <c r="B22" s="10" t="inlineStr">
        <is>
          <t>g</t>
        </is>
      </c>
      <c r="C22" s="20">
        <f>Ingredients!O22</f>
        <v/>
      </c>
      <c r="D22" s="21" t="n">
        <v>0</v>
      </c>
      <c r="E22" s="21" t="n">
        <v>0</v>
      </c>
      <c r="F22" s="21" t="n">
        <v>0</v>
      </c>
      <c r="G22" s="21" t="n">
        <v>0.025</v>
      </c>
      <c r="H22" s="22">
        <f>D22*$C$22</f>
        <v/>
      </c>
      <c r="I22" s="22">
        <f>E22*$C$22</f>
        <v/>
      </c>
      <c r="J22" s="22">
        <f>F22*$C$22</f>
        <v/>
      </c>
      <c r="K22" s="22">
        <f>G22*$C$22</f>
        <v/>
      </c>
    </row>
    <row r="23">
      <c r="A23" s="9" t="inlineStr">
        <is>
          <t>Kiwi powder (freeze-dried)</t>
        </is>
      </c>
      <c r="B23" s="10" t="inlineStr">
        <is>
          <t>g</t>
        </is>
      </c>
      <c r="C23" s="20">
        <f>Ingredients!O23</f>
        <v/>
      </c>
      <c r="D23" s="21" t="n">
        <v>0.6</v>
      </c>
      <c r="E23" s="21" t="n">
        <v>0</v>
      </c>
      <c r="F23" s="21" t="n">
        <v>0</v>
      </c>
      <c r="G23" s="21" t="n">
        <v>0</v>
      </c>
      <c r="H23" s="22">
        <f>D23*$C$23</f>
        <v/>
      </c>
      <c r="I23" s="22">
        <f>E23*$C$23</f>
        <v/>
      </c>
      <c r="J23" s="22">
        <f>F23*$C$23</f>
        <v/>
      </c>
      <c r="K23" s="22">
        <f>G23*$C$23</f>
        <v/>
      </c>
    </row>
    <row r="24">
      <c r="A24" s="9" t="inlineStr">
        <is>
          <t>Lemon powder (freeze-dried)</t>
        </is>
      </c>
      <c r="B24" s="10" t="inlineStr">
        <is>
          <t>g</t>
        </is>
      </c>
      <c r="C24" s="20">
        <f>Ingredients!O24</f>
        <v/>
      </c>
      <c r="D24" s="21" t="n">
        <v>0</v>
      </c>
      <c r="E24" s="21" t="n">
        <v>0.6</v>
      </c>
      <c r="F24" s="21" t="n">
        <v>0</v>
      </c>
      <c r="G24" s="21" t="n">
        <v>0</v>
      </c>
      <c r="H24" s="22">
        <f>D24*$C$24</f>
        <v/>
      </c>
      <c r="I24" s="22">
        <f>E24*$C$24</f>
        <v/>
      </c>
      <c r="J24" s="22">
        <f>F24*$C$24</f>
        <v/>
      </c>
      <c r="K24" s="22">
        <f>G24*$C$24</f>
        <v/>
      </c>
    </row>
    <row r="25">
      <c r="A25" s="9" t="inlineStr">
        <is>
          <t>Ginger powder (organic ground)</t>
        </is>
      </c>
      <c r="B25" s="10" t="inlineStr">
        <is>
          <t>g</t>
        </is>
      </c>
      <c r="C25" s="20">
        <f>Ingredients!O25</f>
        <v/>
      </c>
      <c r="D25" s="21" t="n">
        <v>0</v>
      </c>
      <c r="E25" s="21" t="n">
        <v>0.5</v>
      </c>
      <c r="F25" s="21" t="n">
        <v>0</v>
      </c>
      <c r="G25" s="21" t="n">
        <v>0</v>
      </c>
      <c r="H25" s="22">
        <f>D25*$C$25</f>
        <v/>
      </c>
      <c r="I25" s="22">
        <f>E25*$C$25</f>
        <v/>
      </c>
      <c r="J25" s="22">
        <f>F25*$C$25</f>
        <v/>
      </c>
      <c r="K25" s="22">
        <f>G25*$C$25</f>
        <v/>
      </c>
    </row>
    <row r="26">
      <c r="A26" s="9" t="inlineStr">
        <is>
          <t>Turmeric extract (95% curcumin)</t>
        </is>
      </c>
      <c r="B26" s="10" t="inlineStr">
        <is>
          <t>g</t>
        </is>
      </c>
      <c r="C26" s="20">
        <f>Ingredients!O26</f>
        <v/>
      </c>
      <c r="D26" s="21" t="n">
        <v>0</v>
      </c>
      <c r="E26" s="21" t="n">
        <v>0.025</v>
      </c>
      <c r="F26" s="21" t="n">
        <v>0</v>
      </c>
      <c r="G26" s="21" t="n">
        <v>0</v>
      </c>
      <c r="H26" s="22">
        <f>D26*$C$26</f>
        <v/>
      </c>
      <c r="I26" s="22">
        <f>E26*$C$26</f>
        <v/>
      </c>
      <c r="J26" s="22">
        <f>F26*$C$26</f>
        <v/>
      </c>
      <c r="K26" s="22">
        <f>G26*$C$26</f>
        <v/>
      </c>
    </row>
    <row r="27">
      <c r="A27" s="9" t="inlineStr">
        <is>
          <t>Apple powder (freeze-dried)</t>
        </is>
      </c>
      <c r="B27" s="10" t="inlineStr">
        <is>
          <t>g</t>
        </is>
      </c>
      <c r="C27" s="20">
        <f>Ingredients!O27</f>
        <v/>
      </c>
      <c r="D27" s="21" t="n">
        <v>0</v>
      </c>
      <c r="E27" s="21" t="n">
        <v>0</v>
      </c>
      <c r="F27" s="21" t="n">
        <v>0.9</v>
      </c>
      <c r="G27" s="21" t="n">
        <v>0</v>
      </c>
      <c r="H27" s="22">
        <f>D27*$C$27</f>
        <v/>
      </c>
      <c r="I27" s="22">
        <f>E27*$C$27</f>
        <v/>
      </c>
      <c r="J27" s="22">
        <f>F27*$C$27</f>
        <v/>
      </c>
      <c r="K27" s="22">
        <f>G27*$C$27</f>
        <v/>
      </c>
    </row>
    <row r="28">
      <c r="A28" s="9" t="inlineStr">
        <is>
          <t>Lucuma powder (organic)</t>
        </is>
      </c>
      <c r="B28" s="10" t="inlineStr">
        <is>
          <t>g</t>
        </is>
      </c>
      <c r="C28" s="20">
        <f>Ingredients!O28</f>
        <v/>
      </c>
      <c r="D28" s="21" t="n">
        <v>0</v>
      </c>
      <c r="E28" s="21" t="n">
        <v>0</v>
      </c>
      <c r="F28" s="21" t="n">
        <v>0.3</v>
      </c>
      <c r="G28" s="21" t="n">
        <v>0</v>
      </c>
      <c r="H28" s="22">
        <f>D28*$C$28</f>
        <v/>
      </c>
      <c r="I28" s="22">
        <f>E28*$C$28</f>
        <v/>
      </c>
      <c r="J28" s="22">
        <f>F28*$C$28</f>
        <v/>
      </c>
      <c r="K28" s="22">
        <f>G28*$C$28</f>
        <v/>
      </c>
    </row>
    <row r="29">
      <c r="A29" s="9" t="inlineStr">
        <is>
          <t>Caramel extract (natural)</t>
        </is>
      </c>
      <c r="B29" s="10" t="inlineStr">
        <is>
          <t>ml</t>
        </is>
      </c>
      <c r="C29" s="20">
        <f>Ingredients!O29</f>
        <v/>
      </c>
      <c r="D29" s="21" t="n">
        <v>0</v>
      </c>
      <c r="E29" s="21" t="n">
        <v>0</v>
      </c>
      <c r="F29" s="21" t="n">
        <v>0.1</v>
      </c>
      <c r="G29" s="21" t="n">
        <v>0</v>
      </c>
      <c r="H29" s="22">
        <f>D29*$C$29</f>
        <v/>
      </c>
      <c r="I29" s="22">
        <f>E29*$C$29</f>
        <v/>
      </c>
      <c r="J29" s="22">
        <f>F29*$C$29</f>
        <v/>
      </c>
      <c r="K29" s="22">
        <f>G29*$C$29</f>
        <v/>
      </c>
    </row>
    <row r="30">
      <c r="A30" s="9" t="inlineStr">
        <is>
          <t>Cinnamon powder (Ceylon)</t>
        </is>
      </c>
      <c r="B30" s="10" t="inlineStr">
        <is>
          <t>g</t>
        </is>
      </c>
      <c r="C30" s="20">
        <f>Ingredients!O30</f>
        <v/>
      </c>
      <c r="D30" s="21" t="n">
        <v>0</v>
      </c>
      <c r="E30" s="21" t="n">
        <v>0</v>
      </c>
      <c r="F30" s="21" t="n">
        <v>0.1</v>
      </c>
      <c r="G30" s="21" t="n">
        <v>0</v>
      </c>
      <c r="H30" s="22">
        <f>D30*$C$30</f>
        <v/>
      </c>
      <c r="I30" s="22">
        <f>E30*$C$30</f>
        <v/>
      </c>
      <c r="J30" s="22">
        <f>F30*$C$30</f>
        <v/>
      </c>
      <c r="K30" s="22">
        <f>G30*$C$30</f>
        <v/>
      </c>
    </row>
    <row r="31">
      <c r="A31" s="9" t="inlineStr">
        <is>
          <t>Matcha powder (culinary grade)</t>
        </is>
      </c>
      <c r="B31" s="10" t="inlineStr">
        <is>
          <t>g</t>
        </is>
      </c>
      <c r="C31" s="20">
        <f>Ingredients!O31</f>
        <v/>
      </c>
      <c r="D31" s="21" t="n">
        <v>0</v>
      </c>
      <c r="E31" s="21" t="n">
        <v>0</v>
      </c>
      <c r="F31" s="21" t="n">
        <v>0</v>
      </c>
      <c r="G31" s="21" t="n">
        <v>0.05</v>
      </c>
      <c r="H31" s="22">
        <f>D31*$C$31</f>
        <v/>
      </c>
      <c r="I31" s="22">
        <f>E31*$C$31</f>
        <v/>
      </c>
      <c r="J31" s="22">
        <f>F31*$C$31</f>
        <v/>
      </c>
      <c r="K31" s="22">
        <f>G31*$C$31</f>
        <v/>
      </c>
    </row>
    <row r="32">
      <c r="A32" s="9" t="inlineStr">
        <is>
          <t>Peppermint essential oil (food grade)</t>
        </is>
      </c>
      <c r="B32" s="10" t="inlineStr">
        <is>
          <t>ml</t>
        </is>
      </c>
      <c r="C32" s="20">
        <f>Ingredients!O32</f>
        <v/>
      </c>
      <c r="D32" s="21" t="n">
        <v>0</v>
      </c>
      <c r="E32" s="21" t="n">
        <v>0</v>
      </c>
      <c r="F32" s="21" t="n">
        <v>0</v>
      </c>
      <c r="G32" s="21" t="n">
        <v>0.0125</v>
      </c>
      <c r="H32" s="22">
        <f>D32*$C$32</f>
        <v/>
      </c>
      <c r="I32" s="22">
        <f>E32*$C$32</f>
        <v/>
      </c>
      <c r="J32" s="22">
        <f>F32*$C$32</f>
        <v/>
      </c>
      <c r="K32" s="22">
        <f>G32*$C$32</f>
        <v/>
      </c>
    </row>
    <row r="33">
      <c r="A33" s="9" t="inlineStr">
        <is>
          <t>Spearmint essential oil (food grade)</t>
        </is>
      </c>
      <c r="B33" s="10" t="inlineStr">
        <is>
          <t>ml</t>
        </is>
      </c>
      <c r="C33" s="20">
        <f>Ingredients!O33</f>
        <v/>
      </c>
      <c r="D33" s="21" t="n">
        <v>0</v>
      </c>
      <c r="E33" s="21" t="n">
        <v>0</v>
      </c>
      <c r="F33" s="21" t="n">
        <v>0</v>
      </c>
      <c r="G33" s="21" t="n">
        <v>0.0075</v>
      </c>
      <c r="H33" s="22">
        <f>D33*$C$33</f>
        <v/>
      </c>
      <c r="I33" s="22">
        <f>E33*$C$33</f>
        <v/>
      </c>
      <c r="J33" s="22">
        <f>F33*$C$33</f>
        <v/>
      </c>
      <c r="K33" s="22">
        <f>G33*$C$33</f>
        <v/>
      </c>
    </row>
    <row r="34">
      <c r="A34" s="9" t="inlineStr">
        <is>
          <t>Citric acid (food grade)</t>
        </is>
      </c>
      <c r="B34" s="10" t="inlineStr">
        <is>
          <t>g</t>
        </is>
      </c>
      <c r="C34" s="20">
        <f>Ingredients!O34</f>
        <v/>
      </c>
      <c r="D34" s="21" t="n">
        <v>0.25</v>
      </c>
      <c r="E34" s="21" t="n">
        <v>0.25</v>
      </c>
      <c r="F34" s="21" t="n">
        <v>0.1</v>
      </c>
      <c r="G34" s="21" t="n">
        <v>0.05</v>
      </c>
      <c r="H34" s="22">
        <f>D34*$C$34</f>
        <v/>
      </c>
      <c r="I34" s="22">
        <f>E34*$C$34</f>
        <v/>
      </c>
      <c r="J34" s="22">
        <f>F34*$C$34</f>
        <v/>
      </c>
      <c r="K34" s="22">
        <f>G34*$C$34</f>
        <v/>
      </c>
    </row>
    <row r="35">
      <c r="A35" s="9" t="inlineStr">
        <is>
          <t>Edible glitter (gold/bronze/silver)</t>
        </is>
      </c>
      <c r="B35" s="10" t="inlineStr">
        <is>
          <t>g</t>
        </is>
      </c>
      <c r="C35" s="20">
        <f>Ingredients!O35</f>
        <v/>
      </c>
      <c r="D35" s="21" t="n">
        <v>0.1</v>
      </c>
      <c r="E35" s="21" t="n">
        <v>0.1</v>
      </c>
      <c r="F35" s="21" t="n">
        <v>0.1</v>
      </c>
      <c r="G35" s="21" t="n">
        <v>0.1</v>
      </c>
      <c r="H35" s="22">
        <f>D35*$C$35</f>
        <v/>
      </c>
      <c r="I35" s="22">
        <f>E35*$C$35</f>
        <v/>
      </c>
      <c r="J35" s="22">
        <f>F35*$C$35</f>
        <v/>
      </c>
      <c r="K35" s="22">
        <f>G35*$C$35</f>
        <v/>
      </c>
    </row>
    <row r="36">
      <c r="A36" s="9" t="inlineStr">
        <is>
          <t>Lollipop sticks (paper or bamboo)</t>
        </is>
      </c>
      <c r="B36" s="10" t="inlineStr">
        <is>
          <t>ea</t>
        </is>
      </c>
      <c r="C36" s="20">
        <f>Ingredients!O36</f>
        <v/>
      </c>
      <c r="D36" s="21" t="n">
        <v>1</v>
      </c>
      <c r="E36" s="21" t="n">
        <v>1</v>
      </c>
      <c r="F36" s="21" t="n">
        <v>1</v>
      </c>
      <c r="G36" s="21" t="n">
        <v>1</v>
      </c>
      <c r="H36" s="22">
        <f>D36*$C$36</f>
        <v/>
      </c>
      <c r="I36" s="22">
        <f>E36*$C$36</f>
        <v/>
      </c>
      <c r="J36" s="22">
        <f>F36*$C$36</f>
        <v/>
      </c>
      <c r="K36" s="22">
        <f>G36*$C$36</f>
        <v/>
      </c>
    </row>
    <row r="37">
      <c r="A37" s="9" t="inlineStr">
        <is>
          <t>Lollipop wrapper (clear cello + heat seal)</t>
        </is>
      </c>
      <c r="B37" s="10" t="inlineStr">
        <is>
          <t>ea</t>
        </is>
      </c>
      <c r="C37" s="20">
        <f>Ingredients!O37</f>
        <v/>
      </c>
      <c r="D37" s="21" t="n">
        <v>1</v>
      </c>
      <c r="E37" s="21" t="n">
        <v>1</v>
      </c>
      <c r="F37" s="21" t="n">
        <v>1</v>
      </c>
      <c r="G37" s="21" t="n">
        <v>1</v>
      </c>
      <c r="H37" s="22">
        <f>D37*$C$37</f>
        <v/>
      </c>
      <c r="I37" s="22">
        <f>E37*$C$37</f>
        <v/>
      </c>
      <c r="J37" s="22">
        <f>F37*$C$37</f>
        <v/>
      </c>
      <c r="K37" s="22">
        <f>G37*$C$37</f>
        <v/>
      </c>
    </row>
    <row r="38">
      <c r="A38" s="9" t="inlineStr">
        <is>
          <t>Sticker / label per pop</t>
        </is>
      </c>
      <c r="B38" s="10" t="inlineStr">
        <is>
          <t>ea</t>
        </is>
      </c>
      <c r="C38" s="20">
        <f>Ingredients!O38</f>
        <v/>
      </c>
      <c r="D38" s="21" t="n">
        <v>1</v>
      </c>
      <c r="E38" s="21" t="n">
        <v>1</v>
      </c>
      <c r="F38" s="21" t="n">
        <v>1</v>
      </c>
      <c r="G38" s="21" t="n">
        <v>1</v>
      </c>
      <c r="H38" s="22">
        <f>D38*$C$38</f>
        <v/>
      </c>
      <c r="I38" s="22">
        <f>E38*$C$38</f>
        <v/>
      </c>
      <c r="J38" s="22">
        <f>F38*$C$38</f>
        <v/>
      </c>
      <c r="K38" s="22">
        <f>G38*$C$38</f>
        <v/>
      </c>
    </row>
    <row r="39">
      <c r="A39" s="9" t="inlineStr">
        <is>
          <t>Silicone mold (amortized cavity-uses)</t>
        </is>
      </c>
      <c r="B39" s="10" t="inlineStr">
        <is>
          <t>ea</t>
        </is>
      </c>
      <c r="C39" s="20">
        <f>Ingredients!O39</f>
        <v/>
      </c>
      <c r="D39" s="21" t="n">
        <v>1</v>
      </c>
      <c r="E39" s="21" t="n">
        <v>1</v>
      </c>
      <c r="F39" s="21" t="n">
        <v>1</v>
      </c>
      <c r="G39" s="21" t="n">
        <v>1</v>
      </c>
      <c r="H39" s="22">
        <f>D39*$C$39</f>
        <v/>
      </c>
      <c r="I39" s="22">
        <f>E39*$C$39</f>
        <v/>
      </c>
      <c r="J39" s="22">
        <f>F39*$C$39</f>
        <v/>
      </c>
      <c r="K39" s="22">
        <f>G39*$C$39</f>
        <v/>
      </c>
    </row>
    <row r="40">
      <c r="A40" s="9" t="inlineStr">
        <is>
          <t>Neutral cooking spray (release agent)</t>
        </is>
      </c>
      <c r="B40" s="10" t="inlineStr">
        <is>
          <t>ml</t>
        </is>
      </c>
      <c r="C40" s="20">
        <f>Ingredients!O40</f>
        <v/>
      </c>
      <c r="D40" s="21" t="n">
        <v>0.05</v>
      </c>
      <c r="E40" s="21" t="n">
        <v>0.05</v>
      </c>
      <c r="F40" s="21" t="n">
        <v>0.05</v>
      </c>
      <c r="G40" s="21" t="n">
        <v>0.05</v>
      </c>
      <c r="H40" s="22">
        <f>D40*$C$40</f>
        <v/>
      </c>
      <c r="I40" s="22">
        <f>E40*$C$40</f>
        <v/>
      </c>
      <c r="J40" s="22">
        <f>F40*$C$40</f>
        <v/>
      </c>
      <c r="K40" s="22">
        <f>G40*$C$40</f>
        <v/>
      </c>
    </row>
    <row r="42">
      <c r="A42" s="23" t="inlineStr">
        <is>
          <t>COST PER POP</t>
        </is>
      </c>
      <c r="H42" s="24">
        <f>SUM(H6:H40)</f>
        <v/>
      </c>
      <c r="I42" s="24">
        <f>SUM(I6:I40)</f>
        <v/>
      </c>
      <c r="J42" s="24">
        <f>SUM(J6:J40)</f>
        <v/>
      </c>
      <c r="K42" s="24">
        <f>SUM(K6:K40)</f>
        <v/>
      </c>
    </row>
  </sheetData>
  <mergeCells count="5">
    <mergeCell ref="H4:K4"/>
    <mergeCell ref="B2:C2"/>
    <mergeCell ref="A1:K1"/>
    <mergeCell ref="A42:G42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22" customHeight="1">
      <c r="A1" s="1" t="inlineStr">
        <is>
          <t xml:space="preserve">  PRICING — Retail SKUs &amp; Wholesale Tiers</t>
        </is>
      </c>
    </row>
    <row r="3">
      <c r="A3" s="25" t="inlineStr">
        <is>
          <t>RETAIL SKUs</t>
        </is>
      </c>
    </row>
    <row r="4">
      <c r="A4" s="6" t="inlineStr">
        <is>
          <t>SKU</t>
        </is>
      </c>
      <c r="B4" s="6" t="inlineStr">
        <is>
          <t>Pops per unit</t>
        </is>
      </c>
      <c r="C4" s="6" t="inlineStr">
        <is>
          <t>Price per unit</t>
        </is>
      </c>
      <c r="D4" s="6" t="inlineStr">
        <is>
          <t>Effective $/pop</t>
        </is>
      </c>
      <c r="E4" s="6" t="inlineStr">
        <is>
          <t>Notes</t>
        </is>
      </c>
    </row>
    <row r="5">
      <c r="A5" s="9" t="inlineStr">
        <is>
          <t>Single pop</t>
        </is>
      </c>
      <c r="B5" s="10" t="n">
        <v>1</v>
      </c>
      <c r="C5" s="12" t="n">
        <v>5</v>
      </c>
      <c r="D5" s="26">
        <f>C5/B5</f>
        <v/>
      </c>
      <c r="E5" s="27" t="n"/>
    </row>
    <row r="6">
      <c r="A6" s="9" t="inlineStr">
        <is>
          <t>6-pack</t>
        </is>
      </c>
      <c r="B6" s="10" t="n">
        <v>6</v>
      </c>
      <c r="C6" s="12" t="n">
        <v>25</v>
      </c>
      <c r="D6" s="26">
        <f>C6/B6</f>
        <v/>
      </c>
      <c r="E6" s="27" t="n"/>
    </row>
    <row r="7">
      <c r="A7" s="9" t="inlineStr">
        <is>
          <t>20-pack (Party Pack)</t>
        </is>
      </c>
      <c r="B7" s="10" t="n">
        <v>20</v>
      </c>
      <c r="C7" s="12" t="n">
        <v>60</v>
      </c>
      <c r="D7" s="26">
        <f>C7/B7</f>
        <v/>
      </c>
      <c r="E7" s="27" t="n"/>
    </row>
    <row r="8">
      <c r="A8" s="9" t="inlineStr">
        <is>
          <t>Variety 12-pack (preorder)</t>
        </is>
      </c>
      <c r="B8" s="10" t="n">
        <v>12</v>
      </c>
      <c r="C8" s="12" t="n">
        <v>24</v>
      </c>
      <c r="D8" s="26">
        <f>C8/B8</f>
        <v/>
      </c>
      <c r="E8" s="27" t="n"/>
    </row>
    <row r="10">
      <c r="A10" s="25" t="inlineStr">
        <is>
          <t>WHOLESALE TIERS</t>
        </is>
      </c>
    </row>
    <row r="11">
      <c r="A11" s="6" t="inlineStr">
        <is>
          <t>Tier</t>
        </is>
      </c>
      <c r="B11" s="6" t="inlineStr">
        <is>
          <t>Min units</t>
        </is>
      </c>
      <c r="C11" s="6" t="inlineStr">
        <is>
          <t>$/pop (wholesale)</t>
        </is>
      </c>
      <c r="D11" s="6" t="inlineStr"/>
      <c r="E11" s="6" t="inlineStr">
        <is>
          <t>Notes</t>
        </is>
      </c>
    </row>
    <row r="12">
      <c r="A12" s="9" t="inlineStr">
        <is>
          <t>Tier A — Small (1-49)</t>
        </is>
      </c>
      <c r="B12" s="10" t="n">
        <v>1</v>
      </c>
      <c r="C12" s="12" t="n">
        <v>2.5</v>
      </c>
      <c r="D12" s="27" t="n"/>
      <c r="E12" s="27" t="n"/>
    </row>
    <row r="13">
      <c r="A13" s="9" t="inlineStr">
        <is>
          <t>Tier B — Medium (50-199)</t>
        </is>
      </c>
      <c r="B13" s="10" t="n">
        <v>50</v>
      </c>
      <c r="C13" s="12" t="n">
        <v>2</v>
      </c>
      <c r="D13" s="27" t="n"/>
      <c r="E13" s="27" t="n"/>
    </row>
    <row r="14">
      <c r="A14" s="9" t="inlineStr">
        <is>
          <t>Tier C — Large (200+)</t>
        </is>
      </c>
      <c r="B14" s="10" t="n">
        <v>200</v>
      </c>
      <c r="C14" s="12" t="n">
        <v>1.65</v>
      </c>
      <c r="D14" s="27" t="n"/>
      <c r="E14" s="27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 xml:space="preserve">  BATCH PLAN — Ingredient Capital Required (active tier)</t>
        </is>
      </c>
    </row>
    <row r="2">
      <c r="A2" s="4" t="inlineStr">
        <is>
          <t>Active tier:</t>
        </is>
      </c>
      <c r="B2" s="17">
        <f>Ingredients!C2</f>
        <v/>
      </c>
    </row>
    <row r="4">
      <c r="A4" s="6" t="inlineStr">
        <is>
          <t>Flavor</t>
        </is>
      </c>
      <c r="B4" s="6" t="inlineStr">
        <is>
          <t>Pops to make</t>
        </is>
      </c>
      <c r="C4" s="6" t="inlineStr">
        <is>
          <t>Cost / pop</t>
        </is>
      </c>
      <c r="D4" s="6" t="inlineStr">
        <is>
          <t>Ingredient capital</t>
        </is>
      </c>
      <c r="E4" s="6" t="inlineStr">
        <is>
          <t>Notes</t>
        </is>
      </c>
      <c r="F4" s="6" t="inlineStr"/>
    </row>
    <row r="5">
      <c r="A5" s="9" t="inlineStr">
        <is>
          <t>Kiwi Pop</t>
        </is>
      </c>
      <c r="B5" s="28" t="n">
        <v>100</v>
      </c>
      <c r="C5" s="29">
        <f>kiwi_cost</f>
        <v/>
      </c>
      <c r="D5" s="30">
        <f>B5*C5</f>
        <v/>
      </c>
      <c r="E5" s="27" t="n"/>
      <c r="F5" s="27" t="n"/>
    </row>
    <row r="6">
      <c r="A6" s="9" t="inlineStr">
        <is>
          <t>Lemon Ginger</t>
        </is>
      </c>
      <c r="B6" s="28" t="n">
        <v>100</v>
      </c>
      <c r="C6" s="29">
        <f>lemon_cost</f>
        <v/>
      </c>
      <c r="D6" s="30">
        <f>B6*C6</f>
        <v/>
      </c>
      <c r="E6" s="27" t="n"/>
      <c r="F6" s="27" t="n"/>
    </row>
    <row r="7">
      <c r="A7" s="9" t="inlineStr">
        <is>
          <t>Caramel Apple</t>
        </is>
      </c>
      <c r="B7" s="28" t="n">
        <v>100</v>
      </c>
      <c r="C7" s="29">
        <f>caramel_cost</f>
        <v/>
      </c>
      <c r="D7" s="30">
        <f>B7*C7</f>
        <v/>
      </c>
      <c r="E7" s="27" t="n"/>
      <c r="F7" s="27" t="n"/>
    </row>
    <row r="8">
      <c r="A8" s="9" t="inlineStr">
        <is>
          <t>Mint</t>
        </is>
      </c>
      <c r="B8" s="28" t="n">
        <v>100</v>
      </c>
      <c r="C8" s="29">
        <f>mint_cost</f>
        <v/>
      </c>
      <c r="D8" s="30">
        <f>B8*C8</f>
        <v/>
      </c>
      <c r="E8" s="27" t="n"/>
      <c r="F8" s="27" t="n"/>
    </row>
    <row r="10">
      <c r="A10" s="23" t="inlineStr">
        <is>
          <t>TOTAL</t>
        </is>
      </c>
      <c r="B10" s="31">
        <f>SUM(B5:B8)</f>
        <v/>
      </c>
      <c r="D10" s="32">
        <f>SUM(D5:D8)</f>
        <v/>
      </c>
    </row>
    <row r="12">
      <c r="A12" s="33" t="inlineStr">
        <is>
          <t>Tip: switch the active tier on the Ingredients tab to see how capital required drops when you scale up. The cost/pop column will recompute automatically.</t>
        </is>
      </c>
    </row>
  </sheetData>
  <mergeCells count="3">
    <mergeCell ref="A1:F1"/>
    <mergeCell ref="B2:D2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91E63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6" customWidth="1" min="4" max="4"/>
    <col width="16" customWidth="1" min="5" max="5"/>
    <col width="22" customWidth="1" min="6" max="6"/>
  </cols>
  <sheetData>
    <row r="1" ht="22" customHeight="1">
      <c r="A1" s="1" t="inlineStr">
        <is>
          <t xml:space="preserve">  BREAK-EVEN — Units to sell to recover this batch's ingredient capital</t>
        </is>
      </c>
    </row>
    <row r="2">
      <c r="A2" s="4" t="inlineStr">
        <is>
          <t>Capital to recover (from Batch Plan):</t>
        </is>
      </c>
      <c r="B2" s="34">
        <f>batch_total_capital</f>
        <v/>
      </c>
    </row>
    <row r="3">
      <c r="A3" s="4" t="inlineStr">
        <is>
          <t>Avg ingredient cost per pop in this batch:</t>
        </is>
      </c>
      <c r="B3" s="35">
        <f>IFERROR(batch_total_capital/batch_total_units,0)</f>
        <v/>
      </c>
    </row>
    <row r="5">
      <c r="A5" s="36" t="inlineStr">
        <is>
          <t>If you sold 100% through ONE channel, you'd hit break-even at:</t>
        </is>
      </c>
    </row>
    <row r="6">
      <c r="A6" s="6" t="inlineStr">
        <is>
          <t>Channel</t>
        </is>
      </c>
      <c r="B6" s="6" t="inlineStr">
        <is>
          <t>$/pop received</t>
        </is>
      </c>
      <c r="C6" s="6" t="inlineStr">
        <is>
          <t>Profit/pop</t>
        </is>
      </c>
      <c r="D6" s="6" t="inlineStr">
        <is>
          <t>Pops to break even</t>
        </is>
      </c>
      <c r="E6" s="6" t="inlineStr">
        <is>
          <t>% of batch sold</t>
        </is>
      </c>
      <c r="F6" s="6" t="inlineStr">
        <is>
          <t>Notes</t>
        </is>
      </c>
    </row>
    <row r="7">
      <c r="A7" s="9" t="inlineStr">
        <is>
          <t>Retail · single ($5)</t>
        </is>
      </c>
      <c r="B7" s="37">
        <f>price_single</f>
        <v/>
      </c>
      <c r="C7" s="22">
        <f>B7-$B$3</f>
        <v/>
      </c>
      <c r="D7" s="9">
        <f>IF(C7&lt;=0,"NEVER (sells below cost)",ROUNDUP($B$2/C7,0))</f>
        <v/>
      </c>
      <c r="E7" s="38">
        <f>IFERROR(IF(C7&lt;=0,"-",D7/batch_total_units),"-")</f>
        <v/>
      </c>
      <c r="F7" s="39" t="inlineStr">
        <is>
          <t>Highest margin, slowest volume.</t>
        </is>
      </c>
    </row>
    <row r="8">
      <c r="A8" s="9" t="inlineStr">
        <is>
          <t>Retail · 6-pack ($4.17/pop)</t>
        </is>
      </c>
      <c r="B8" s="37">
        <f>price_6pack</f>
        <v/>
      </c>
      <c r="C8" s="22">
        <f>B8-$B$3</f>
        <v/>
      </c>
      <c r="D8" s="9">
        <f>IF(C8&lt;=0,"NEVER (sells below cost)",ROUNDUP($B$2/C8,0))</f>
        <v/>
      </c>
      <c r="E8" s="38">
        <f>IFERROR(IF(C8&lt;=0,"-",D8/batch_total_units),"-")</f>
        <v/>
      </c>
      <c r="F8" s="39" t="inlineStr">
        <is>
          <t>Strong DTC margin.</t>
        </is>
      </c>
    </row>
    <row r="9">
      <c r="A9" s="9" t="inlineStr">
        <is>
          <t>Retail · 20-pack ($3.00/pop)</t>
        </is>
      </c>
      <c r="B9" s="37">
        <f>price_20pack</f>
        <v/>
      </c>
      <c r="C9" s="22">
        <f>B9-$B$3</f>
        <v/>
      </c>
      <c r="D9" s="9">
        <f>IF(C9&lt;=0,"NEVER (sells below cost)",ROUNDUP($B$2/C9,0))</f>
        <v/>
      </c>
      <c r="E9" s="38">
        <f>IFERROR(IF(C9&lt;=0,"-",D9/batch_total_units),"-")</f>
        <v/>
      </c>
      <c r="F9" s="39" t="inlineStr">
        <is>
          <t>Volume DTC.</t>
        </is>
      </c>
    </row>
    <row r="10">
      <c r="A10" s="9" t="inlineStr">
        <is>
          <t>Retail · variety preorder ($2)</t>
        </is>
      </c>
      <c r="B10" s="37">
        <f>price_variety</f>
        <v/>
      </c>
      <c r="C10" s="22">
        <f>B10-$B$3</f>
        <v/>
      </c>
      <c r="D10" s="9">
        <f>IF(C10&lt;=0,"NEVER (sells below cost)",ROUNDUP($B$2/C10,0))</f>
        <v/>
      </c>
      <c r="E10" s="38">
        <f>IFERROR(IF(C10&lt;=0,"-",D10/batch_total_units),"-")</f>
        <v/>
      </c>
      <c r="F10" s="39" t="inlineStr">
        <is>
          <t>Preorder discount tier.</t>
        </is>
      </c>
    </row>
    <row r="11">
      <c r="A11" s="9" t="inlineStr">
        <is>
          <t>Wholesale A — small (1-49)</t>
        </is>
      </c>
      <c r="B11" s="37">
        <f>price_whA</f>
        <v/>
      </c>
      <c r="C11" s="22">
        <f>B11-$B$3</f>
        <v/>
      </c>
      <c r="D11" s="9">
        <f>IF(C11&lt;=0,"NEVER (sells below cost)",ROUNDUP($B$2/C11,0))</f>
        <v/>
      </c>
      <c r="E11" s="38">
        <f>IFERROR(IF(C11&lt;=0,"-",D11/batch_total_units),"-")</f>
        <v/>
      </c>
      <c r="F11" s="39" t="inlineStr">
        <is>
          <t>Tasting-room / single-shop orders.</t>
        </is>
      </c>
    </row>
    <row r="12">
      <c r="A12" s="9" t="inlineStr">
        <is>
          <t>Wholesale B — medium (50-199)</t>
        </is>
      </c>
      <c r="B12" s="37">
        <f>price_whB</f>
        <v/>
      </c>
      <c r="C12" s="22">
        <f>B12-$B$3</f>
        <v/>
      </c>
      <c r="D12" s="9">
        <f>IF(C12&lt;=0,"NEVER (sells below cost)",ROUNDUP($B$2/C12,0))</f>
        <v/>
      </c>
      <c r="E12" s="38">
        <f>IFERROR(IF(C12&lt;=0,"-",D12/batch_total_units),"-")</f>
        <v/>
      </c>
      <c r="F12" s="39" t="inlineStr">
        <is>
          <t>Standard wholesale tier.</t>
        </is>
      </c>
    </row>
    <row r="13">
      <c r="A13" s="9" t="inlineStr">
        <is>
          <t>Wholesale C — large (200+)</t>
        </is>
      </c>
      <c r="B13" s="37">
        <f>price_whC</f>
        <v/>
      </c>
      <c r="C13" s="22">
        <f>B13-$B$3</f>
        <v/>
      </c>
      <c r="D13" s="9">
        <f>IF(C13&lt;=0,"NEVER (sells below cost)",ROUNDUP($B$2/C13,0))</f>
        <v/>
      </c>
      <c r="E13" s="38">
        <f>IFERROR(IF(C13&lt;=0,"-",D13/batch_total_units),"-")</f>
        <v/>
      </c>
      <c r="F13" s="39" t="inlineStr">
        <is>
          <t>Distributor / chain account.</t>
        </is>
      </c>
    </row>
    <row r="16" ht="40" customHeight="1">
      <c r="A16" s="40" t="inlineStr">
        <is>
          <t>MIXED-CHANNEL CALCULATOR — type the SHARE of each channel below (must sum to 100%). The output is how many TOTAL pops you'd need to sell in that mix to break even.</t>
        </is>
      </c>
    </row>
    <row r="18">
      <c r="A18" s="6" t="inlineStr">
        <is>
          <t>Channel</t>
        </is>
      </c>
      <c r="B18" s="6" t="inlineStr">
        <is>
          <t>Share %</t>
        </is>
      </c>
      <c r="C18" s="6" t="inlineStr">
        <is>
          <t>$/pop</t>
        </is>
      </c>
      <c r="D18" s="6" t="inlineStr"/>
      <c r="E18" s="6" t="inlineStr"/>
      <c r="F18" s="6" t="inlineStr"/>
    </row>
    <row r="19">
      <c r="A19" s="27" t="inlineStr">
        <is>
          <t>Retail · single ($5)</t>
        </is>
      </c>
      <c r="B19" s="41" t="n">
        <v>0.1</v>
      </c>
      <c r="C19" s="37">
        <f>price_single</f>
        <v/>
      </c>
      <c r="D19" s="27" t="n"/>
      <c r="E19" s="27" t="n"/>
      <c r="F19" s="27" t="n"/>
    </row>
    <row r="20">
      <c r="A20" s="27" t="inlineStr">
        <is>
          <t>Retail · 6-pack ($4.17/pop)</t>
        </is>
      </c>
      <c r="B20" s="41" t="n">
        <v>0.15</v>
      </c>
      <c r="C20" s="37">
        <f>price_6pack</f>
        <v/>
      </c>
      <c r="D20" s="27" t="n"/>
      <c r="E20" s="27" t="n"/>
      <c r="F20" s="27" t="n"/>
    </row>
    <row r="21">
      <c r="A21" s="27" t="inlineStr">
        <is>
          <t>Retail · 20-pack ($3.00/pop)</t>
        </is>
      </c>
      <c r="B21" s="41" t="n">
        <v>0.15</v>
      </c>
      <c r="C21" s="37">
        <f>price_20pack</f>
        <v/>
      </c>
      <c r="D21" s="27" t="n"/>
      <c r="E21" s="27" t="n"/>
      <c r="F21" s="27" t="n"/>
    </row>
    <row r="22">
      <c r="A22" s="27" t="inlineStr">
        <is>
          <t>Retail · variety preorder ($2)</t>
        </is>
      </c>
      <c r="B22" s="41" t="n">
        <v>0</v>
      </c>
      <c r="C22" s="37">
        <f>price_variety</f>
        <v/>
      </c>
      <c r="D22" s="27" t="n"/>
      <c r="E22" s="27" t="n"/>
      <c r="F22" s="27" t="n"/>
    </row>
    <row r="23">
      <c r="A23" s="27" t="inlineStr">
        <is>
          <t>Wholesale A — small (1-49)</t>
        </is>
      </c>
      <c r="B23" s="41" t="n">
        <v>0.1</v>
      </c>
      <c r="C23" s="37">
        <f>price_whA</f>
        <v/>
      </c>
      <c r="D23" s="27" t="n"/>
      <c r="E23" s="27" t="n"/>
      <c r="F23" s="27" t="n"/>
    </row>
    <row r="24">
      <c r="A24" s="27" t="inlineStr">
        <is>
          <t>Wholesale B — medium (50-199)</t>
        </is>
      </c>
      <c r="B24" s="41" t="n">
        <v>0.4</v>
      </c>
      <c r="C24" s="37">
        <f>price_whB</f>
        <v/>
      </c>
      <c r="D24" s="27" t="n"/>
      <c r="E24" s="27" t="n"/>
      <c r="F24" s="27" t="n"/>
    </row>
    <row r="25">
      <c r="A25" s="27" t="inlineStr">
        <is>
          <t>Wholesale C — large (200+)</t>
        </is>
      </c>
      <c r="B25" s="41" t="n">
        <v>0.1</v>
      </c>
      <c r="C25" s="37">
        <f>price_whC</f>
        <v/>
      </c>
      <c r="D25" s="27" t="n"/>
      <c r="E25" s="27" t="n"/>
      <c r="F25" s="27" t="n"/>
    </row>
    <row r="26">
      <c r="A26" s="36" t="inlineStr">
        <is>
          <t>Total share</t>
        </is>
      </c>
      <c r="B26" s="42">
        <f>SUM(B19:B25)</f>
        <v/>
      </c>
    </row>
    <row r="28">
      <c r="A28" s="36" t="inlineStr">
        <is>
          <t>Weighted avg $/pop</t>
        </is>
      </c>
      <c r="B28" s="43">
        <f>SUMPRODUCT(B19:B25,C19:C25)</f>
        <v/>
      </c>
    </row>
    <row r="29">
      <c r="A29" s="36" t="inlineStr">
        <is>
          <t>Profit per pop (avg)</t>
        </is>
      </c>
      <c r="B29" s="44">
        <f>B28-$B$3</f>
        <v/>
      </c>
    </row>
    <row r="30">
      <c r="A30" s="45" t="inlineStr">
        <is>
          <t>Pops to break even (this mix)</t>
        </is>
      </c>
      <c r="B30" s="46">
        <f>IF(B29&lt;=0,"NEVER",ROUNDUP($B$2/B29,0))</f>
        <v/>
      </c>
    </row>
  </sheetData>
  <mergeCells count="3">
    <mergeCell ref="A16:F16"/>
    <mergeCell ref="A1:F1"/>
    <mergeCell ref="A5:F5"/>
  </mergeCells>
  <conditionalFormatting sqref="C7:C13">
    <cfRule type="cellIs" priority="1" operator="lessThanOr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E676"/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 ht="22" customHeight="1">
      <c r="A1" s="1" t="inlineStr">
        <is>
          <t xml:space="preserve">  SCENARIO — Plug in your real sales mix, see the bottom line</t>
        </is>
      </c>
    </row>
    <row r="2">
      <c r="A2" s="4" t="inlineStr">
        <is>
          <t>Active tier:</t>
        </is>
      </c>
      <c r="B2" s="17">
        <f>Ingredients!C2</f>
        <v/>
      </c>
    </row>
    <row r="3">
      <c r="A3" s="4" t="inlineStr">
        <is>
          <t>Labor + overhead multiplier (×COGS):</t>
        </is>
      </c>
      <c r="B3" s="47" t="n">
        <v>0.4</v>
      </c>
    </row>
    <row r="4">
      <c r="A4" s="4" t="inlineStr">
        <is>
          <t>Fixed costs this period ($):</t>
        </is>
      </c>
      <c r="B4" s="48" t="n">
        <v>0</v>
      </c>
    </row>
    <row r="6">
      <c r="A6" s="6" t="inlineStr">
        <is>
          <t>Channel \ Flavor →</t>
        </is>
      </c>
      <c r="B6" s="6" t="inlineStr">
        <is>
          <t>Kiwi Pop</t>
        </is>
      </c>
      <c r="C6" s="6" t="inlineStr">
        <is>
          <t>Lemon Ginger</t>
        </is>
      </c>
      <c r="D6" s="6" t="inlineStr">
        <is>
          <t>Caramel Apple</t>
        </is>
      </c>
      <c r="E6" s="6" t="inlineStr">
        <is>
          <t>Mint</t>
        </is>
      </c>
      <c r="F6" s="6" t="inlineStr">
        <is>
          <t>Units total</t>
        </is>
      </c>
      <c r="G6" s="6" t="inlineStr">
        <is>
          <t>$/pop</t>
        </is>
      </c>
      <c r="H6" s="6" t="inlineStr">
        <is>
          <t>Revenue</t>
        </is>
      </c>
      <c r="I6" s="6" t="inlineStr">
        <is>
          <t>COGS (ingred)</t>
        </is>
      </c>
      <c r="J6" s="6" t="inlineStr">
        <is>
          <t>Gross profit</t>
        </is>
      </c>
    </row>
    <row r="7">
      <c r="A7" s="9" t="inlineStr">
        <is>
          <t>Retail · single</t>
        </is>
      </c>
      <c r="B7" s="28" t="n">
        <v>0</v>
      </c>
      <c r="C7" s="28" t="n">
        <v>0</v>
      </c>
      <c r="D7" s="28" t="n">
        <v>0</v>
      </c>
      <c r="E7" s="28" t="n">
        <v>0</v>
      </c>
      <c r="F7" s="49">
        <f>SUM(B7:E7)</f>
        <v/>
      </c>
      <c r="G7" s="37">
        <f>price_single</f>
        <v/>
      </c>
      <c r="H7" s="50">
        <f>F7*G7</f>
        <v/>
      </c>
      <c r="I7" s="50">
        <f>B7*kiwi_cost+C7*lemon_cost+D7*caramel_cost+E7*mint_cost</f>
        <v/>
      </c>
      <c r="J7" s="30">
        <f>H7-I7</f>
        <v/>
      </c>
    </row>
    <row r="8">
      <c r="A8" s="9" t="inlineStr">
        <is>
          <t>Retail · 6-pack</t>
        </is>
      </c>
      <c r="B8" s="28" t="n">
        <v>0</v>
      </c>
      <c r="C8" s="28" t="n">
        <v>0</v>
      </c>
      <c r="D8" s="28" t="n">
        <v>0</v>
      </c>
      <c r="E8" s="28" t="n">
        <v>0</v>
      </c>
      <c r="F8" s="49">
        <f>SUM(B8:E8)</f>
        <v/>
      </c>
      <c r="G8" s="37">
        <f>price_6pack</f>
        <v/>
      </c>
      <c r="H8" s="50">
        <f>F8*G8</f>
        <v/>
      </c>
      <c r="I8" s="50">
        <f>B8*kiwi_cost+C8*lemon_cost+D8*caramel_cost+E8*mint_cost</f>
        <v/>
      </c>
      <c r="J8" s="30">
        <f>H8-I8</f>
        <v/>
      </c>
    </row>
    <row r="9">
      <c r="A9" s="9" t="inlineStr">
        <is>
          <t>Retail · 20-pack</t>
        </is>
      </c>
      <c r="B9" s="28" t="n">
        <v>0</v>
      </c>
      <c r="C9" s="28" t="n">
        <v>0</v>
      </c>
      <c r="D9" s="28" t="n">
        <v>0</v>
      </c>
      <c r="E9" s="28" t="n">
        <v>0</v>
      </c>
      <c r="F9" s="49">
        <f>SUM(B9:E9)</f>
        <v/>
      </c>
      <c r="G9" s="37">
        <f>price_20pack</f>
        <v/>
      </c>
      <c r="H9" s="50">
        <f>F9*G9</f>
        <v/>
      </c>
      <c r="I9" s="50">
        <f>B9*kiwi_cost+C9*lemon_cost+D9*caramel_cost+E9*mint_cost</f>
        <v/>
      </c>
      <c r="J9" s="30">
        <f>H9-I9</f>
        <v/>
      </c>
    </row>
    <row r="10">
      <c r="A10" s="9" t="inlineStr">
        <is>
          <t>Retail · variety pre</t>
        </is>
      </c>
      <c r="B10" s="28" t="n">
        <v>0</v>
      </c>
      <c r="C10" s="28" t="n">
        <v>0</v>
      </c>
      <c r="D10" s="28" t="n">
        <v>0</v>
      </c>
      <c r="E10" s="28" t="n">
        <v>0</v>
      </c>
      <c r="F10" s="49">
        <f>SUM(B10:E10)</f>
        <v/>
      </c>
      <c r="G10" s="37">
        <f>price_variety</f>
        <v/>
      </c>
      <c r="H10" s="50">
        <f>F10*G10</f>
        <v/>
      </c>
      <c r="I10" s="50">
        <f>B10*kiwi_cost+C10*lemon_cost+D10*caramel_cost+E10*mint_cost</f>
        <v/>
      </c>
      <c r="J10" s="30">
        <f>H10-I10</f>
        <v/>
      </c>
    </row>
    <row r="11">
      <c r="A11" s="9" t="inlineStr">
        <is>
          <t>Wholesale A</t>
        </is>
      </c>
      <c r="B11" s="28" t="n">
        <v>0</v>
      </c>
      <c r="C11" s="28" t="n">
        <v>0</v>
      </c>
      <c r="D11" s="28" t="n">
        <v>0</v>
      </c>
      <c r="E11" s="28" t="n">
        <v>0</v>
      </c>
      <c r="F11" s="49">
        <f>SUM(B11:E11)</f>
        <v/>
      </c>
      <c r="G11" s="37">
        <f>price_whA</f>
        <v/>
      </c>
      <c r="H11" s="50">
        <f>F11*G11</f>
        <v/>
      </c>
      <c r="I11" s="50">
        <f>B11*kiwi_cost+C11*lemon_cost+D11*caramel_cost+E11*mint_cost</f>
        <v/>
      </c>
      <c r="J11" s="30">
        <f>H11-I11</f>
        <v/>
      </c>
    </row>
    <row r="12">
      <c r="A12" s="9" t="inlineStr">
        <is>
          <t>Wholesale B</t>
        </is>
      </c>
      <c r="B12" s="28" t="n">
        <v>0</v>
      </c>
      <c r="C12" s="28" t="n">
        <v>0</v>
      </c>
      <c r="D12" s="28" t="n">
        <v>0</v>
      </c>
      <c r="E12" s="28" t="n">
        <v>0</v>
      </c>
      <c r="F12" s="49">
        <f>SUM(B12:E12)</f>
        <v/>
      </c>
      <c r="G12" s="37">
        <f>price_whB</f>
        <v/>
      </c>
      <c r="H12" s="50">
        <f>F12*G12</f>
        <v/>
      </c>
      <c r="I12" s="50">
        <f>B12*kiwi_cost+C12*lemon_cost+D12*caramel_cost+E12*mint_cost</f>
        <v/>
      </c>
      <c r="J12" s="30">
        <f>H12-I12</f>
        <v/>
      </c>
    </row>
    <row r="13">
      <c r="A13" s="9" t="inlineStr">
        <is>
          <t>Wholesale C</t>
        </is>
      </c>
      <c r="B13" s="28" t="n">
        <v>0</v>
      </c>
      <c r="C13" s="28" t="n">
        <v>0</v>
      </c>
      <c r="D13" s="28" t="n">
        <v>0</v>
      </c>
      <c r="E13" s="28" t="n">
        <v>0</v>
      </c>
      <c r="F13" s="49">
        <f>SUM(B13:E13)</f>
        <v/>
      </c>
      <c r="G13" s="37">
        <f>price_whC</f>
        <v/>
      </c>
      <c r="H13" s="50">
        <f>F13*G13</f>
        <v/>
      </c>
      <c r="I13" s="50">
        <f>B13*kiwi_cost+C13*lemon_cost+D13*caramel_cost+E13*mint_cost</f>
        <v/>
      </c>
      <c r="J13" s="30">
        <f>H13-I13</f>
        <v/>
      </c>
    </row>
    <row r="15">
      <c r="A15" s="23" t="inlineStr">
        <is>
          <t>TOTAL</t>
        </is>
      </c>
      <c r="B15" s="51">
        <f>SUM(B7:B13)</f>
        <v/>
      </c>
      <c r="C15" s="51">
        <f>SUM(C7:C13)</f>
        <v/>
      </c>
      <c r="D15" s="51">
        <f>SUM(D7:D13)</f>
        <v/>
      </c>
      <c r="E15" s="51">
        <f>SUM(E7:E13)</f>
        <v/>
      </c>
      <c r="F15" s="36">
        <f>SUM(F7:F13)</f>
        <v/>
      </c>
      <c r="H15" s="52">
        <f>SUM(H7:H13)</f>
        <v/>
      </c>
      <c r="I15" s="53">
        <f>SUM(I7:I13)</f>
        <v/>
      </c>
      <c r="J15" s="34">
        <f>SUM(J7:J13)</f>
        <v/>
      </c>
    </row>
    <row r="17">
      <c r="A17" s="54" t="inlineStr">
        <is>
          <t>P&amp;L SUMMARY</t>
        </is>
      </c>
    </row>
    <row r="18">
      <c r="A18" s="55" t="inlineStr">
        <is>
          <t>Revenue:</t>
        </is>
      </c>
      <c r="B18" s="53">
        <f>H15</f>
        <v/>
      </c>
    </row>
    <row r="19">
      <c r="A19" s="55" t="inlineStr">
        <is>
          <t>COGS (ingredients):</t>
        </is>
      </c>
      <c r="B19" s="53">
        <f>I15</f>
        <v/>
      </c>
    </row>
    <row r="20">
      <c r="A20" s="55" t="inlineStr">
        <is>
          <t>Labor + overhead:</t>
        </is>
      </c>
      <c r="B20" s="53">
        <f>I15*$B$3</f>
        <v/>
      </c>
    </row>
    <row r="21">
      <c r="A21" s="55" t="inlineStr">
        <is>
          <t>Fixed costs:</t>
        </is>
      </c>
      <c r="B21" s="53">
        <f>$B$4</f>
        <v/>
      </c>
    </row>
    <row r="22">
      <c r="A22" s="4" t="inlineStr">
        <is>
          <t>Net profit:</t>
        </is>
      </c>
      <c r="B22" s="56">
        <f>H15-I15-I15*$B$3-$B$4</f>
        <v/>
      </c>
    </row>
    <row r="23">
      <c r="A23" s="55" t="inlineStr">
        <is>
          <t>Net margin %:</t>
        </is>
      </c>
      <c r="B23" s="57">
        <f>IFERROR((H15-I15-I15*$B$3-$B$4)/H15,0)</f>
        <v/>
      </c>
    </row>
    <row r="24">
      <c r="A24" s="55" t="inlineStr">
        <is>
          <t>Total units sold:</t>
        </is>
      </c>
      <c r="B24" s="58">
        <f>F15</f>
        <v/>
      </c>
    </row>
    <row r="26" ht="60" customHeight="1">
      <c r="A26" s="2" t="inlineStr">
        <is>
          <t>HOW TO USE: Type units sold per flavor per channel in the yellow grid. Adjust labor multiplier (default 40% of COGS — covers your hands-on time + utilities) and fixed costs (rent, marketing, platform fees for the period). Switch the active sourcing tier on the Ingredients sheet to see how the P&amp;L changes when you scale up purchasing.</t>
        </is>
      </c>
    </row>
  </sheetData>
  <mergeCells count="3">
    <mergeCell ref="A1:J1"/>
    <mergeCell ref="A26:J26"/>
    <mergeCell ref="A17:D17"/>
  </mergeCells>
  <conditionalFormatting sqref="B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2026-05-14T00:42:41Z</dcterms:created>
  <dcterms:modified xsi:type="dcterms:W3CDTF">2026-05-14T00:42:41Z</dcterms:modified>
</cp:coreProperties>
</file>